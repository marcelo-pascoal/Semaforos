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c\git\"/>
    </mc:Choice>
  </mc:AlternateContent>
  <xr:revisionPtr revIDLastSave="0" documentId="8_{009F3144-F3B3-4AE2-A363-9C63525F809D}" xr6:coauthVersionLast="47" xr6:coauthVersionMax="47" xr10:uidLastSave="{00000000-0000-0000-0000-000000000000}"/>
  <bookViews>
    <workbookView xWindow="-110" yWindow="-110" windowWidth="25820" windowHeight="15500" xr2:uid="{BB80D584-53F3-4EE9-969A-94E3295EA05B}"/>
  </bookViews>
  <sheets>
    <sheet name="Folha1" sheetId="1" r:id="rId1"/>
    <sheet name="Fo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H344" i="2" a="1"/>
  <c r="H344" i="2" s="1"/>
  <c r="H343" i="2" a="1"/>
  <c r="H343" i="2" s="1"/>
  <c r="H342" i="2" a="1"/>
  <c r="H342" i="2" s="1"/>
  <c r="H341" i="2" a="1"/>
  <c r="H341" i="2" s="1"/>
  <c r="H340" i="2" a="1"/>
  <c r="H340" i="2" s="1"/>
  <c r="H339" i="2" a="1"/>
  <c r="H339" i="2" s="1"/>
  <c r="H338" i="2" a="1"/>
  <c r="H338" i="2" s="1"/>
  <c r="H337" i="2" a="1"/>
  <c r="H337" i="2" s="1"/>
  <c r="H336" i="2" a="1"/>
  <c r="H336" i="2" s="1"/>
  <c r="H335" i="2" a="1"/>
  <c r="H335" i="2" s="1"/>
  <c r="H334" i="2" a="1"/>
  <c r="H334" i="2" s="1"/>
  <c r="H333" i="2" a="1"/>
  <c r="H333" i="2" s="1"/>
  <c r="H332" i="2" a="1"/>
  <c r="H332" i="2" s="1"/>
  <c r="H331" i="2" a="1"/>
  <c r="H331" i="2" s="1"/>
  <c r="H330" i="2" a="1"/>
  <c r="H330" i="2" s="1"/>
  <c r="H329" i="2" a="1"/>
  <c r="H329" i="2" s="1"/>
  <c r="H328" i="2" a="1"/>
  <c r="H328" i="2" s="1"/>
  <c r="H327" i="2" a="1"/>
  <c r="H327" i="2" s="1"/>
  <c r="H326" i="2" a="1"/>
  <c r="H326" i="2" s="1"/>
  <c r="H325" i="2" a="1"/>
  <c r="H325" i="2" s="1"/>
  <c r="H324" i="2" a="1"/>
  <c r="H324" i="2" s="1"/>
  <c r="H323" i="2" a="1"/>
  <c r="H323" i="2" s="1"/>
  <c r="H322" i="2" a="1"/>
  <c r="H322" i="2" s="1"/>
  <c r="H321" i="2" a="1"/>
  <c r="H321" i="2" s="1"/>
  <c r="H320" i="2" a="1"/>
  <c r="H320" i="2" s="1"/>
  <c r="H319" i="2" a="1"/>
  <c r="H319" i="2" s="1"/>
  <c r="H318" i="2" a="1"/>
  <c r="H318" i="2" s="1"/>
  <c r="H317" i="2" a="1"/>
  <c r="H317" i="2" s="1"/>
  <c r="H316" i="2" a="1"/>
  <c r="H316" i="2" s="1"/>
  <c r="H315" i="2" a="1"/>
  <c r="H315" i="2" s="1"/>
  <c r="H314" i="2" a="1"/>
  <c r="H314" i="2" s="1"/>
  <c r="H313" i="2" a="1"/>
  <c r="H313" i="2" s="1"/>
  <c r="H312" i="2" a="1"/>
  <c r="H312" i="2" s="1"/>
  <c r="H311" i="2" a="1"/>
  <c r="H311" i="2" s="1"/>
  <c r="H310" i="2" a="1"/>
  <c r="H310" i="2" s="1"/>
  <c r="H309" i="2" a="1"/>
  <c r="H309" i="2" s="1"/>
  <c r="H308" i="2" a="1"/>
  <c r="H308" i="2" s="1"/>
  <c r="H307" i="2" a="1"/>
  <c r="H307" i="2" s="1"/>
  <c r="H306" i="2" a="1"/>
  <c r="H306" i="2" s="1"/>
  <c r="H305" i="2" a="1"/>
  <c r="H305" i="2" s="1"/>
  <c r="H304" i="2" a="1"/>
  <c r="H304" i="2" s="1"/>
  <c r="H303" i="2" a="1"/>
  <c r="H303" i="2" s="1"/>
  <c r="H302" i="2" a="1"/>
  <c r="H302" i="2" s="1"/>
  <c r="H301" i="2" a="1"/>
  <c r="H301" i="2" s="1"/>
  <c r="H300" i="2" a="1"/>
  <c r="H300" i="2" s="1"/>
  <c r="H299" i="2" a="1"/>
  <c r="H299" i="2" s="1"/>
  <c r="H298" i="2" a="1"/>
  <c r="H298" i="2" s="1"/>
  <c r="H297" i="2" a="1"/>
  <c r="H297" i="2" s="1"/>
  <c r="H296" i="2" a="1"/>
  <c r="H296" i="2" s="1"/>
  <c r="H295" i="2" a="1"/>
  <c r="H295" i="2" s="1"/>
  <c r="H294" i="2" a="1"/>
  <c r="H294" i="2" s="1"/>
  <c r="H293" i="2" a="1"/>
  <c r="H293" i="2" s="1"/>
  <c r="H292" i="2" a="1"/>
  <c r="H292" i="2" s="1"/>
  <c r="H291" i="2" a="1"/>
  <c r="H291" i="2" s="1"/>
  <c r="H290" i="2" a="1"/>
  <c r="H290" i="2" s="1"/>
  <c r="H289" i="2" a="1"/>
  <c r="H289" i="2" s="1"/>
  <c r="H288" i="2" a="1"/>
  <c r="H288" i="2" s="1"/>
  <c r="H287" i="2" a="1"/>
  <c r="H287" i="2" s="1"/>
  <c r="H286" i="2" a="1"/>
  <c r="H286" i="2" s="1"/>
  <c r="H285" i="2" a="1"/>
  <c r="H285" i="2" s="1"/>
  <c r="H284" i="2" a="1"/>
  <c r="H284" i="2" s="1"/>
  <c r="H283" i="2" a="1"/>
  <c r="H283" i="2" s="1"/>
  <c r="H282" i="2" a="1"/>
  <c r="H282" i="2" s="1"/>
  <c r="H281" i="2" a="1"/>
  <c r="H281" i="2" s="1"/>
  <c r="H280" i="2" a="1"/>
  <c r="H280" i="2" s="1"/>
  <c r="H279" i="2" a="1"/>
  <c r="H279" i="2" s="1"/>
  <c r="H278" i="2" a="1"/>
  <c r="H278" i="2" s="1"/>
  <c r="H277" i="2" a="1"/>
  <c r="H277" i="2" s="1"/>
  <c r="H276" i="2" a="1"/>
  <c r="H276" i="2" s="1"/>
  <c r="H275" i="2" a="1"/>
  <c r="H275" i="2" s="1"/>
  <c r="H274" i="2" a="1"/>
  <c r="H274" i="2" s="1"/>
  <c r="H273" i="2" a="1"/>
  <c r="H273" i="2" s="1"/>
  <c r="H272" i="2" a="1"/>
  <c r="H272" i="2" s="1"/>
  <c r="H271" i="2" a="1"/>
  <c r="H271" i="2" s="1"/>
  <c r="H270" i="2" a="1"/>
  <c r="H270" i="2" s="1"/>
  <c r="H269" i="2" a="1"/>
  <c r="H269" i="2" s="1"/>
  <c r="H268" i="2" a="1"/>
  <c r="H268" i="2" s="1"/>
  <c r="H267" i="2" a="1"/>
  <c r="H267" i="2" s="1"/>
  <c r="H266" i="2" a="1"/>
  <c r="H266" i="2" s="1"/>
  <c r="H265" i="2" a="1"/>
  <c r="H265" i="2" s="1"/>
  <c r="H264" i="2" a="1"/>
  <c r="H264" i="2" s="1"/>
  <c r="H263" i="2" a="1"/>
  <c r="H263" i="2" s="1"/>
  <c r="H262" i="2" a="1"/>
  <c r="H262" i="2" s="1"/>
  <c r="H261" i="2" a="1"/>
  <c r="H261" i="2" s="1"/>
  <c r="H260" i="2" a="1"/>
  <c r="H260" i="2" s="1"/>
  <c r="H259" i="2" a="1"/>
  <c r="H259" i="2" s="1"/>
  <c r="H258" i="2" a="1"/>
  <c r="H258" i="2" s="1"/>
  <c r="H257" i="2" a="1"/>
  <c r="H257" i="2" s="1"/>
  <c r="H256" i="2" a="1"/>
  <c r="H256" i="2" s="1"/>
  <c r="H255" i="2" a="1"/>
  <c r="H255" i="2" s="1"/>
  <c r="H254" i="2" a="1"/>
  <c r="H254" i="2" s="1"/>
  <c r="H253" i="2" a="1"/>
  <c r="H253" i="2" s="1"/>
  <c r="H252" i="2" a="1"/>
  <c r="H252" i="2" s="1"/>
  <c r="H251" i="2" a="1"/>
  <c r="H251" i="2" s="1"/>
  <c r="H250" i="2" a="1"/>
  <c r="H250" i="2" s="1"/>
  <c r="H249" i="2" a="1"/>
  <c r="H249" i="2" s="1"/>
  <c r="H248" i="2" a="1"/>
  <c r="H248" i="2" s="1"/>
  <c r="H247" i="2" a="1"/>
  <c r="H247" i="2" s="1"/>
  <c r="H246" i="2" a="1"/>
  <c r="H246" i="2" s="1"/>
  <c r="H245" i="2" a="1"/>
  <c r="H245" i="2" s="1"/>
  <c r="H244" i="2" a="1"/>
  <c r="H244" i="2" s="1"/>
  <c r="H243" i="2" a="1"/>
  <c r="H243" i="2" s="1"/>
  <c r="H242" i="2" a="1"/>
  <c r="H242" i="2" s="1"/>
  <c r="H241" i="2" a="1"/>
  <c r="H241" i="2" s="1"/>
  <c r="H240" i="2" a="1"/>
  <c r="H240" i="2" s="1"/>
  <c r="H239" i="2" a="1"/>
  <c r="H239" i="2" s="1"/>
  <c r="H238" i="2" a="1"/>
  <c r="H238" i="2" s="1"/>
  <c r="H237" i="2" a="1"/>
  <c r="H237" i="2" s="1"/>
  <c r="H236" i="2" a="1"/>
  <c r="H236" i="2" s="1"/>
  <c r="H235" i="2" a="1"/>
  <c r="H235" i="2" s="1"/>
  <c r="H234" i="2" a="1"/>
  <c r="H234" i="2" s="1"/>
  <c r="H233" i="2" a="1"/>
  <c r="H233" i="2" s="1"/>
  <c r="H232" i="2" a="1"/>
  <c r="H232" i="2" s="1"/>
  <c r="H231" i="2" a="1"/>
  <c r="H231" i="2" s="1"/>
  <c r="H230" i="2" a="1"/>
  <c r="H230" i="2" s="1"/>
  <c r="H229" i="2" a="1"/>
  <c r="H229" i="2" s="1"/>
  <c r="H228" i="2" a="1"/>
  <c r="H228" i="2" s="1"/>
  <c r="H227" i="2" a="1"/>
  <c r="H227" i="2" s="1"/>
  <c r="H226" i="2" a="1"/>
  <c r="H226" i="2" s="1"/>
  <c r="H225" i="2" a="1"/>
  <c r="H225" i="2" s="1"/>
  <c r="H224" i="2" a="1"/>
  <c r="H224" i="2" s="1"/>
  <c r="H223" i="2" a="1"/>
  <c r="H223" i="2" s="1"/>
  <c r="H222" i="2" a="1"/>
  <c r="H222" i="2" s="1"/>
  <c r="H221" i="2" a="1"/>
  <c r="H221" i="2" s="1"/>
  <c r="H220" i="2" a="1"/>
  <c r="H220" i="2" s="1"/>
  <c r="H219" i="2" a="1"/>
  <c r="H219" i="2" s="1"/>
  <c r="H218" i="2" a="1"/>
  <c r="H218" i="2" s="1"/>
  <c r="H217" i="2" a="1"/>
  <c r="H217" i="2" s="1"/>
  <c r="H216" i="2" a="1"/>
  <c r="H216" i="2" s="1"/>
  <c r="H215" i="2" a="1"/>
  <c r="H215" i="2" s="1"/>
  <c r="H214" i="2" a="1"/>
  <c r="H214" i="2" s="1"/>
  <c r="H213" i="2" a="1"/>
  <c r="H213" i="2" s="1"/>
  <c r="H212" i="2" a="1"/>
  <c r="H212" i="2" s="1"/>
  <c r="H211" i="2" a="1"/>
  <c r="H211" i="2" s="1"/>
  <c r="H210" i="2" a="1"/>
  <c r="H210" i="2" s="1"/>
  <c r="H209" i="2" a="1"/>
  <c r="H209" i="2" s="1"/>
  <c r="H208" i="2" a="1"/>
  <c r="H208" i="2" s="1"/>
  <c r="H207" i="2" a="1"/>
  <c r="H207" i="2" s="1"/>
  <c r="H206" i="2" a="1"/>
  <c r="H206" i="2" s="1"/>
  <c r="H205" i="2" a="1"/>
  <c r="H205" i="2" s="1"/>
  <c r="H204" i="2" a="1"/>
  <c r="H204" i="2" s="1"/>
  <c r="H203" i="2" a="1"/>
  <c r="H203" i="2" s="1"/>
  <c r="H202" i="2" a="1"/>
  <c r="H202" i="2" s="1"/>
  <c r="H201" i="2" a="1"/>
  <c r="H201" i="2" s="1"/>
  <c r="H200" i="2" a="1"/>
  <c r="H200" i="2" s="1"/>
  <c r="H199" i="2" a="1"/>
  <c r="H199" i="2" s="1"/>
  <c r="H198" i="2" a="1"/>
  <c r="H198" i="2" s="1"/>
  <c r="H197" i="2" a="1"/>
  <c r="H197" i="2" s="1"/>
  <c r="H196" i="2" a="1"/>
  <c r="H196" i="2" s="1"/>
  <c r="H195" i="2" a="1"/>
  <c r="H195" i="2" s="1"/>
  <c r="H194" i="2" a="1"/>
  <c r="H194" i="2" s="1"/>
  <c r="H193" i="2" a="1"/>
  <c r="H193" i="2" s="1"/>
  <c r="H192" i="2" a="1"/>
  <c r="H192" i="2" s="1"/>
  <c r="H191" i="2" a="1"/>
  <c r="H191" i="2" s="1"/>
  <c r="H190" i="2" a="1"/>
  <c r="H190" i="2" s="1"/>
  <c r="H189" i="2" a="1"/>
  <c r="H189" i="2" s="1"/>
  <c r="H188" i="2" a="1"/>
  <c r="H188" i="2" s="1"/>
  <c r="H187" i="2" a="1"/>
  <c r="H187" i="2" s="1"/>
  <c r="H186" i="2" a="1"/>
  <c r="H186" i="2" s="1"/>
  <c r="H185" i="2" a="1"/>
  <c r="H185" i="2" s="1"/>
  <c r="H184" i="2" a="1"/>
  <c r="H184" i="2" s="1"/>
  <c r="H183" i="2" a="1"/>
  <c r="H183" i="2" s="1"/>
  <c r="H182" i="2" a="1"/>
  <c r="H182" i="2" s="1"/>
  <c r="H181" i="2" a="1"/>
  <c r="H181" i="2" s="1"/>
  <c r="H180" i="2" a="1"/>
  <c r="H180" i="2" s="1"/>
  <c r="H179" i="2" a="1"/>
  <c r="H179" i="2" s="1"/>
  <c r="H178" i="2" a="1"/>
  <c r="H178" i="2" s="1"/>
  <c r="H177" i="2" a="1"/>
  <c r="H177" i="2" s="1"/>
  <c r="H176" i="2" a="1"/>
  <c r="H176" i="2" s="1"/>
  <c r="H175" i="2" a="1"/>
  <c r="H175" i="2" s="1"/>
  <c r="H174" i="2" a="1"/>
  <c r="H174" i="2" s="1"/>
  <c r="H173" i="2" a="1"/>
  <c r="H173" i="2" s="1"/>
  <c r="H172" i="2" a="1"/>
  <c r="H172" i="2" s="1"/>
  <c r="H171" i="2" a="1"/>
  <c r="H171" i="2" s="1"/>
  <c r="H170" i="2" a="1"/>
  <c r="H170" i="2" s="1"/>
  <c r="H169" i="2" a="1"/>
  <c r="H169" i="2" s="1"/>
  <c r="H168" i="2" a="1"/>
  <c r="H168" i="2" s="1"/>
  <c r="H167" i="2" a="1"/>
  <c r="H167" i="2" s="1"/>
  <c r="H166" i="2" a="1"/>
  <c r="H166" i="2" s="1"/>
  <c r="H165" i="2" a="1"/>
  <c r="H165" i="2" s="1"/>
  <c r="H164" i="2" a="1"/>
  <c r="H164" i="2" s="1"/>
  <c r="H163" i="2" a="1"/>
  <c r="H163" i="2" s="1"/>
  <c r="H162" i="2" a="1"/>
  <c r="H162" i="2" s="1"/>
  <c r="H161" i="2" a="1"/>
  <c r="H161" i="2" s="1"/>
  <c r="H160" i="2" a="1"/>
  <c r="H160" i="2" s="1"/>
  <c r="H159" i="2" a="1"/>
  <c r="H159" i="2" s="1"/>
  <c r="H158" i="2" a="1"/>
  <c r="H158" i="2" s="1"/>
  <c r="H157" i="2" a="1"/>
  <c r="H157" i="2" s="1"/>
  <c r="H156" i="2" a="1"/>
  <c r="H156" i="2" s="1"/>
  <c r="H155" i="2" a="1"/>
  <c r="H155" i="2" s="1"/>
  <c r="H154" i="2" a="1"/>
  <c r="H154" i="2" s="1"/>
  <c r="H153" i="2" a="1"/>
  <c r="H153" i="2" s="1"/>
  <c r="H152" i="2" a="1"/>
  <c r="H152" i="2" s="1"/>
  <c r="H151" i="2" a="1"/>
  <c r="H151" i="2" s="1"/>
  <c r="H150" i="2" a="1"/>
  <c r="H150" i="2" s="1"/>
  <c r="H149" i="2" a="1"/>
  <c r="H149" i="2" s="1"/>
  <c r="H148" i="2" a="1"/>
  <c r="H148" i="2" s="1"/>
  <c r="H147" i="2" a="1"/>
  <c r="H147" i="2" s="1"/>
  <c r="H146" i="2" a="1"/>
  <c r="H146" i="2" s="1"/>
  <c r="H145" i="2" a="1"/>
  <c r="H145" i="2" s="1"/>
  <c r="H144" i="2" a="1"/>
  <c r="H144" i="2" s="1"/>
  <c r="H143" i="2" a="1"/>
  <c r="H143" i="2" s="1"/>
  <c r="H142" i="2" a="1"/>
  <c r="H142" i="2" s="1"/>
  <c r="H141" i="2" a="1"/>
  <c r="H141" i="2" s="1"/>
  <c r="H140" i="2" a="1"/>
  <c r="H140" i="2" s="1"/>
  <c r="H139" i="2" a="1"/>
  <c r="H139" i="2" s="1"/>
  <c r="H138" i="2" a="1"/>
  <c r="H138" i="2" s="1"/>
  <c r="H137" i="2" a="1"/>
  <c r="H137" i="2" s="1"/>
  <c r="H136" i="2" a="1"/>
  <c r="H136" i="2" s="1"/>
  <c r="H135" i="2" a="1"/>
  <c r="H135" i="2" s="1"/>
  <c r="H134" i="2" a="1"/>
  <c r="H134" i="2" s="1"/>
  <c r="H133" i="2" a="1"/>
  <c r="H133" i="2" s="1"/>
  <c r="H132" i="2" a="1"/>
  <c r="H132" i="2" s="1"/>
  <c r="H131" i="2" a="1"/>
  <c r="H131" i="2" s="1"/>
  <c r="H130" i="2" a="1"/>
  <c r="H130" i="2" s="1"/>
  <c r="H129" i="2" a="1"/>
  <c r="H129" i="2" s="1"/>
  <c r="H128" i="2" a="1"/>
  <c r="H128" i="2" s="1"/>
  <c r="H127" i="2" a="1"/>
  <c r="H127" i="2" s="1"/>
  <c r="H126" i="2" a="1"/>
  <c r="H126" i="2" s="1"/>
  <c r="H125" i="2" a="1"/>
  <c r="H125" i="2" s="1"/>
  <c r="H124" i="2" a="1"/>
  <c r="H124" i="2" s="1"/>
  <c r="H123" i="2" a="1"/>
  <c r="H123" i="2" s="1"/>
  <c r="H122" i="2" a="1"/>
  <c r="H122" i="2" s="1"/>
  <c r="H121" i="2" a="1"/>
  <c r="H121" i="2" s="1"/>
  <c r="H120" i="2" a="1"/>
  <c r="H120" i="2" s="1"/>
  <c r="H119" i="2" a="1"/>
  <c r="H119" i="2" s="1"/>
  <c r="H118" i="2" a="1"/>
  <c r="H118" i="2" s="1"/>
  <c r="H117" i="2" a="1"/>
  <c r="H117" i="2" s="1"/>
  <c r="H116" i="2" a="1"/>
  <c r="H116" i="2" s="1"/>
  <c r="H115" i="2" a="1"/>
  <c r="H115" i="2" s="1"/>
  <c r="H114" i="2" a="1"/>
  <c r="H114" i="2" s="1"/>
  <c r="H113" i="2" a="1"/>
  <c r="H113" i="2" s="1"/>
  <c r="H112" i="2" a="1"/>
  <c r="H112" i="2" s="1"/>
  <c r="H111" i="2" a="1"/>
  <c r="H111" i="2" s="1"/>
  <c r="H110" i="2" a="1"/>
  <c r="H110" i="2" s="1"/>
  <c r="H109" i="2" a="1"/>
  <c r="H109" i="2" s="1"/>
  <c r="H108" i="2" a="1"/>
  <c r="H108" i="2" s="1"/>
  <c r="H107" i="2" a="1"/>
  <c r="H107" i="2" s="1"/>
  <c r="H106" i="2" a="1"/>
  <c r="H106" i="2" s="1"/>
  <c r="H105" i="2" a="1"/>
  <c r="H105" i="2" s="1"/>
  <c r="H104" i="2" a="1"/>
  <c r="H104" i="2" s="1"/>
  <c r="H103" i="2" a="1"/>
  <c r="H103" i="2" s="1"/>
  <c r="H102" i="2" a="1"/>
  <c r="H102" i="2" s="1"/>
  <c r="H101" i="2" a="1"/>
  <c r="H101" i="2" s="1"/>
  <c r="H100" i="2" a="1"/>
  <c r="H100" i="2" s="1"/>
  <c r="H99" i="2" a="1"/>
  <c r="H99" i="2" s="1"/>
  <c r="H98" i="2" a="1"/>
  <c r="H98" i="2" s="1"/>
  <c r="H97" i="2" a="1"/>
  <c r="H97" i="2" s="1"/>
  <c r="H96" i="2" a="1"/>
  <c r="H96" i="2" s="1"/>
  <c r="H95" i="2" a="1"/>
  <c r="H95" i="2" s="1"/>
  <c r="H94" i="2" a="1"/>
  <c r="H94" i="2" s="1"/>
  <c r="H93" i="2" a="1"/>
  <c r="H93" i="2" s="1"/>
  <c r="H92" i="2" a="1"/>
  <c r="H92" i="2" s="1"/>
  <c r="H91" i="2" a="1"/>
  <c r="H91" i="2" s="1"/>
  <c r="H90" i="2" a="1"/>
  <c r="H90" i="2" s="1"/>
  <c r="H89" i="2" a="1"/>
  <c r="H89" i="2" s="1"/>
  <c r="H88" i="2" a="1"/>
  <c r="H88" i="2" s="1"/>
  <c r="H87" i="2" a="1"/>
  <c r="H87" i="2" s="1"/>
  <c r="H86" i="2" a="1"/>
  <c r="H86" i="2" s="1"/>
  <c r="H85" i="2" a="1"/>
  <c r="H85" i="2" s="1"/>
  <c r="H84" i="2" a="1"/>
  <c r="H84" i="2" s="1"/>
  <c r="H83" i="2" a="1"/>
  <c r="H83" i="2" s="1"/>
  <c r="H82" i="2" a="1"/>
  <c r="H82" i="2" s="1"/>
  <c r="H81" i="2" a="1"/>
  <c r="H81" i="2" s="1"/>
  <c r="H80" i="2" a="1"/>
  <c r="H80" i="2" s="1"/>
  <c r="H79" i="2" a="1"/>
  <c r="H79" i="2" s="1"/>
  <c r="H78" i="2" a="1"/>
  <c r="H78" i="2" s="1"/>
  <c r="H77" i="2" a="1"/>
  <c r="H77" i="2" s="1"/>
  <c r="H76" i="2" a="1"/>
  <c r="H76" i="2" s="1"/>
  <c r="H75" i="2" a="1"/>
  <c r="H75" i="2" s="1"/>
  <c r="H74" i="2" a="1"/>
  <c r="H74" i="2" s="1"/>
  <c r="H73" i="2" a="1"/>
  <c r="H73" i="2" s="1"/>
  <c r="H72" i="2" a="1"/>
  <c r="H72" i="2" s="1"/>
  <c r="H71" i="2" a="1"/>
  <c r="H71" i="2" s="1"/>
  <c r="H70" i="2" a="1"/>
  <c r="H70" i="2" s="1"/>
  <c r="H69" i="2" a="1"/>
  <c r="H69" i="2" s="1"/>
  <c r="H68" i="2" a="1"/>
  <c r="H68" i="2" s="1"/>
  <c r="H67" i="2" a="1"/>
  <c r="H67" i="2" s="1"/>
  <c r="H66" i="2" a="1"/>
  <c r="H66" i="2" s="1"/>
  <c r="H65" i="2" a="1"/>
  <c r="H65" i="2" s="1"/>
  <c r="H64" i="2" a="1"/>
  <c r="H64" i="2" s="1"/>
  <c r="H63" i="2" a="1"/>
  <c r="H63" i="2" s="1"/>
  <c r="H62" i="2" a="1"/>
  <c r="H62" i="2" s="1"/>
  <c r="H61" i="2" a="1"/>
  <c r="H61" i="2" s="1"/>
  <c r="H60" i="2" a="1"/>
  <c r="H60" i="2" s="1"/>
  <c r="H59" i="2" a="1"/>
  <c r="H59" i="2" s="1"/>
  <c r="H58" i="2" a="1"/>
  <c r="H58" i="2" s="1"/>
  <c r="H57" i="2" a="1"/>
  <c r="H57" i="2" s="1"/>
  <c r="H56" i="2" a="1"/>
  <c r="H56" i="2" s="1"/>
  <c r="H55" i="2" a="1"/>
  <c r="H55" i="2" s="1"/>
  <c r="H54" i="2" a="1"/>
  <c r="H54" i="2" s="1"/>
  <c r="H53" i="2" a="1"/>
  <c r="H53" i="2" s="1"/>
  <c r="H52" i="2" a="1"/>
  <c r="H52" i="2" s="1"/>
  <c r="H51" i="2" a="1"/>
  <c r="H51" i="2" s="1"/>
  <c r="H50" i="2" a="1"/>
  <c r="H50" i="2" s="1"/>
  <c r="H49" i="2" a="1"/>
  <c r="H49" i="2" s="1"/>
  <c r="H48" i="2" a="1"/>
  <c r="H48" i="2" s="1"/>
  <c r="H47" i="2" a="1"/>
  <c r="H47" i="2" s="1"/>
  <c r="H46" i="2" a="1"/>
  <c r="H46" i="2" s="1"/>
  <c r="H45" i="2" a="1"/>
  <c r="H45" i="2" s="1"/>
  <c r="H44" i="2" a="1"/>
  <c r="H44" i="2" s="1"/>
  <c r="H43" i="2" a="1"/>
  <c r="H43" i="2" s="1"/>
  <c r="H42" i="2" a="1"/>
  <c r="H42" i="2" s="1"/>
  <c r="H41" i="2" a="1"/>
  <c r="H41" i="2" s="1"/>
  <c r="H40" i="2" a="1"/>
  <c r="H40" i="2" s="1"/>
  <c r="H39" i="2" a="1"/>
  <c r="H39" i="2" s="1"/>
  <c r="H38" i="2" a="1"/>
  <c r="H38" i="2" s="1"/>
  <c r="H37" i="2" a="1"/>
  <c r="H37" i="2" s="1"/>
  <c r="H36" i="2" a="1"/>
  <c r="H36" i="2" s="1"/>
  <c r="H35" i="2" a="1"/>
  <c r="H35" i="2" s="1"/>
  <c r="H34" i="2" a="1"/>
  <c r="H34" i="2" s="1"/>
  <c r="H33" i="2" a="1"/>
  <c r="H33" i="2" s="1"/>
  <c r="H32" i="2" a="1"/>
  <c r="H32" i="2" s="1"/>
  <c r="H31" i="2" a="1"/>
  <c r="H31" i="2" s="1"/>
  <c r="H30" i="2" a="1"/>
  <c r="H30" i="2" s="1"/>
  <c r="H29" i="2" a="1"/>
  <c r="H29" i="2" s="1"/>
  <c r="H28" i="2" a="1"/>
  <c r="H28" i="2" s="1"/>
  <c r="H27" i="2" a="1"/>
  <c r="H27" i="2" s="1"/>
  <c r="H26" i="2" a="1"/>
  <c r="H26" i="2" s="1"/>
  <c r="H25" i="2" a="1"/>
  <c r="H25" i="2" s="1"/>
  <c r="H24" i="2" a="1"/>
  <c r="H24" i="2" s="1"/>
  <c r="H23" i="2" a="1"/>
  <c r="H23" i="2" s="1"/>
  <c r="H22" i="2" a="1"/>
  <c r="H22" i="2" s="1"/>
  <c r="H21" i="2" a="1"/>
  <c r="H21" i="2" s="1"/>
  <c r="H20" i="2" a="1"/>
  <c r="H20" i="2" s="1"/>
  <c r="H19" i="2" a="1"/>
  <c r="H19" i="2" s="1"/>
  <c r="H18" i="2" a="1"/>
  <c r="H18" i="2" s="1"/>
  <c r="H17" i="2" a="1"/>
  <c r="H17" i="2" s="1"/>
  <c r="H16" i="2" a="1"/>
  <c r="H16" i="2" s="1"/>
  <c r="H15" i="2" a="1"/>
  <c r="H15" i="2" s="1"/>
  <c r="H14" i="2" a="1"/>
  <c r="H14" i="2" s="1"/>
  <c r="H13" i="2" a="1"/>
  <c r="H13" i="2" s="1"/>
  <c r="H12" i="2" a="1"/>
  <c r="H12" i="2" s="1"/>
  <c r="H11" i="2" a="1"/>
  <c r="H11" i="2" s="1"/>
  <c r="H10" i="2" a="1"/>
  <c r="H10" i="2" s="1"/>
  <c r="H9" i="2" a="1"/>
  <c r="H9" i="2" s="1"/>
  <c r="H8" i="2" a="1"/>
  <c r="H8" i="2" s="1"/>
  <c r="H7" i="2" a="1"/>
  <c r="H7" i="2" s="1"/>
  <c r="H6" i="2" a="1"/>
  <c r="H6" i="2" s="1"/>
  <c r="H5" i="2" a="1"/>
  <c r="H5" i="2" s="1"/>
  <c r="H4" i="2" a="1"/>
  <c r="H4" i="2" s="1"/>
  <c r="H3" i="2" a="1"/>
  <c r="H3" i="2" s="1"/>
  <c r="H2" i="2" a="1"/>
  <c r="H2" i="2" s="1"/>
  <c r="H1" i="2" a="1"/>
  <c r="H1" i="2" s="1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344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AB286" i="1"/>
  <c r="AB277" i="1"/>
  <c r="AB45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8" i="1"/>
  <c r="AB279" i="1"/>
  <c r="AB280" i="1"/>
  <c r="AB281" i="1"/>
  <c r="AB282" i="1"/>
  <c r="AB283" i="1"/>
  <c r="AB284" i="1"/>
  <c r="AB285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<sst xmlns="http://schemas.openxmlformats.org/spreadsheetml/2006/main" count="4180" uniqueCount="1512">
  <si>
    <t>local</t>
  </si>
  <si>
    <t>id_0</t>
  </si>
  <si>
    <t>Referência</t>
  </si>
  <si>
    <t>Tipo</t>
  </si>
  <si>
    <t>Fixação</t>
  </si>
  <si>
    <t>cat</t>
  </si>
  <si>
    <t>GPS</t>
  </si>
  <si>
    <t>Morada</t>
  </si>
  <si>
    <t>Freguesia</t>
  </si>
  <si>
    <t>300Vermelha</t>
  </si>
  <si>
    <t>300Amarela</t>
  </si>
  <si>
    <t>300Verde</t>
  </si>
  <si>
    <t>200Vermelha</t>
  </si>
  <si>
    <t>200Amarela</t>
  </si>
  <si>
    <t>200Verde</t>
  </si>
  <si>
    <t>100Vermelha</t>
  </si>
  <si>
    <t>100Amarela</t>
  </si>
  <si>
    <t>100Verde</t>
  </si>
  <si>
    <t>PeãoVermelha</t>
  </si>
  <si>
    <t>PeãoVerde</t>
  </si>
  <si>
    <t>PassagemdePeões</t>
  </si>
  <si>
    <t>Botoneira</t>
  </si>
  <si>
    <t>ControlodeVelocidade</t>
  </si>
  <si>
    <t>Descontador</t>
  </si>
  <si>
    <t>Ligação</t>
  </si>
  <si>
    <t>Foto1</t>
  </si>
  <si>
    <t>Foto2</t>
  </si>
  <si>
    <t>Foto3</t>
  </si>
  <si>
    <t>Instalador</t>
  </si>
  <si>
    <t>LRA01</t>
  </si>
  <si>
    <t>(01) 305</t>
  </si>
  <si>
    <t>Pré Aviso</t>
  </si>
  <si>
    <t>39.74869549432313,-8.80594127605364</t>
  </si>
  <si>
    <t>Rua Mouzinho de Albuquerque</t>
  </si>
  <si>
    <t>Leiria, Pousos, Barreira e Cortes</t>
  </si>
  <si>
    <t>Rede</t>
  </si>
  <si>
    <t>DSCF6907.JPG</t>
  </si>
  <si>
    <t>(01) 306</t>
  </si>
  <si>
    <t>Poste - Regulação de tráfego</t>
  </si>
  <si>
    <t>39.74869549432313, -8.80594127605364</t>
  </si>
  <si>
    <t>Sim</t>
  </si>
  <si>
    <t>DSCF6910.JPG</t>
  </si>
  <si>
    <t>(01) 307</t>
  </si>
  <si>
    <t>39.748026743217565, -8.805129375281759</t>
  </si>
  <si>
    <t>Rua de São Francisco</t>
  </si>
  <si>
    <t>DSCF6915.JPG</t>
  </si>
  <si>
    <t>(01) 308</t>
  </si>
  <si>
    <t>39.74829659094836, -8.80414628325919</t>
  </si>
  <si>
    <t>DSCF6932.JPG</t>
  </si>
  <si>
    <t>(01) 309</t>
  </si>
  <si>
    <t>39.74839374862484, -8.804075201099439</t>
  </si>
  <si>
    <t>Avenida Cidade de Maringá</t>
  </si>
  <si>
    <t>DSCF6934.JPG</t>
  </si>
  <si>
    <t>(01) 310</t>
  </si>
  <si>
    <t>39.74811842510931, -8.803838522078996</t>
  </si>
  <si>
    <t>DSCF6929.JPG</t>
  </si>
  <si>
    <t>(01) 311</t>
  </si>
  <si>
    <t>39.74820358637316, -8.803770721885801</t>
  </si>
  <si>
    <t>DSCF6930.JPG</t>
  </si>
  <si>
    <t>(01) 312</t>
  </si>
  <si>
    <t>Báculo - Regulação de tráfego</t>
  </si>
  <si>
    <t>39.74802970521171, -8.80393847636282</t>
  </si>
  <si>
    <t>Avenida Heróis de Angola</t>
  </si>
  <si>
    <t>DSCFLRA01-1.jpg</t>
  </si>
  <si>
    <t>(01) 428</t>
  </si>
  <si>
    <t>39.74810150912227, -8.805215216595057</t>
  </si>
  <si>
    <t>DSCF6911.JPG</t>
  </si>
  <si>
    <t>(01) 429</t>
  </si>
  <si>
    <t>39.74795300357023, -8.805161344234902</t>
  </si>
  <si>
    <t>DSCF6914.JPG</t>
  </si>
  <si>
    <t>(01) 430</t>
  </si>
  <si>
    <t>39.7482104710023, -8.804147624692995</t>
  </si>
  <si>
    <t>DSCF6933.JPG</t>
  </si>
  <si>
    <t>(01) 431</t>
  </si>
  <si>
    <t>39.748085721025646, -8.804026141863098</t>
  </si>
  <si>
    <t>DSCF6928.JPG</t>
  </si>
  <si>
    <t>(01) 606</t>
  </si>
  <si>
    <t>39.74838844004364, -8.803865486087545</t>
  </si>
  <si>
    <t>LRA02</t>
  </si>
  <si>
    <t>(02) 303</t>
  </si>
  <si>
    <t>39.746870320076226, -8.80448012655988</t>
  </si>
  <si>
    <t>Rua Coronel Teles Sampaio Rio</t>
  </si>
  <si>
    <t>DSCF6918.JPG</t>
  </si>
  <si>
    <t>(02) 304</t>
  </si>
  <si>
    <t>39.74672802204347, -8.80429103082689</t>
  </si>
  <si>
    <t>DSCF6921.JPG</t>
  </si>
  <si>
    <t>(02) 432</t>
  </si>
  <si>
    <t>39.74678980345012, -8.804397011884106</t>
  </si>
  <si>
    <t>DSCF6920-1.JPG</t>
  </si>
  <si>
    <t>(02) 433</t>
  </si>
  <si>
    <t>39.74675947199529, -8.804407706917187</t>
  </si>
  <si>
    <t>DSCF6920.JPG</t>
  </si>
  <si>
    <t>(02) 434</t>
  </si>
  <si>
    <t>39.746918268258696, -8.80442111796249</t>
  </si>
  <si>
    <t>DSCF6919.JPG</t>
  </si>
  <si>
    <t>LRA03</t>
  </si>
  <si>
    <t>(03) 299</t>
  </si>
  <si>
    <t>39.741571990120796, -8.81044606112862</t>
  </si>
  <si>
    <t>Largo da República</t>
  </si>
  <si>
    <t>DSCF6938.JPG</t>
  </si>
  <si>
    <t>(03) 300</t>
  </si>
  <si>
    <t>39.74128557359666, -8.810364399887046</t>
  </si>
  <si>
    <t>DSCF6940.JPG</t>
  </si>
  <si>
    <t>(03) 301</t>
  </si>
  <si>
    <t>39.741535130238304, -8.810751979088577</t>
  </si>
  <si>
    <t>Rua dos Mártires</t>
  </si>
  <si>
    <t>DSCF6944.JPG</t>
  </si>
  <si>
    <t>(03) 302</t>
  </si>
  <si>
    <t>39.74122885605346, -8.810630609131398</t>
  </si>
  <si>
    <t>Rua Dr. João Soares</t>
  </si>
  <si>
    <t>(03) 435</t>
  </si>
  <si>
    <t>DSCF6936.JPG</t>
  </si>
  <si>
    <t>(03) 436</t>
  </si>
  <si>
    <t>39.741424443915214, -8.810399073428751</t>
  </si>
  <si>
    <t>DSCF6939.JPG</t>
  </si>
  <si>
    <t>(03) 437</t>
  </si>
  <si>
    <t>39.74145022454955, -8.810354816980707</t>
  </si>
  <si>
    <t>DSCF6937.JPG</t>
  </si>
  <si>
    <t>(03) 438</t>
  </si>
  <si>
    <t>39.74157706513234, -8.810559335420558</t>
  </si>
  <si>
    <t>DSCF6951.JPG</t>
  </si>
  <si>
    <t>(03) 439</t>
  </si>
  <si>
    <t>39.741256869554746, -8.810565370388785</t>
  </si>
  <si>
    <t>DSCF6944_1.JPG</t>
  </si>
  <si>
    <t>(03) 440</t>
  </si>
  <si>
    <t>39.741373913841784, -8.810696128076186</t>
  </si>
  <si>
    <t>DSCF6947.JPG</t>
  </si>
  <si>
    <t>(03) 551</t>
  </si>
  <si>
    <t>39.741233445973215, -8.81053664339859</t>
  </si>
  <si>
    <t>DSCF6941.JPG</t>
  </si>
  <si>
    <t>LRA04</t>
  </si>
  <si>
    <t>(04) 289</t>
  </si>
  <si>
    <t>39.740028853868814, -8.80442747142965</t>
  </si>
  <si>
    <t>Avenida Marquês de Pombal</t>
  </si>
  <si>
    <t>DSCF6976.JPG</t>
  </si>
  <si>
    <t>(04) 291</t>
  </si>
  <si>
    <t>39.739865823041676, -8.804777935163296</t>
  </si>
  <si>
    <t>DSCF6969.JPG</t>
  </si>
  <si>
    <t>(04) 292</t>
  </si>
  <si>
    <t>39.739808383240685, -8.804723764147036</t>
  </si>
  <si>
    <t>DSCF6968.JPG</t>
  </si>
  <si>
    <t>(04) 293</t>
  </si>
  <si>
    <t>39.73981178843026, -8.80506095487133</t>
  </si>
  <si>
    <t>DSCF6966.JPG</t>
  </si>
  <si>
    <t>(04) 294</t>
  </si>
  <si>
    <t>39.73987579811197, -8.805073038447109</t>
  </si>
  <si>
    <t>DSCF6965.JPG</t>
  </si>
  <si>
    <t>(04) 295</t>
  </si>
  <si>
    <t>39.7399222567147, -8.805174406221697</t>
  </si>
  <si>
    <t>Rua da Restauração</t>
  </si>
  <si>
    <t>DSCF6962.JPG</t>
  </si>
  <si>
    <t>(04) 296</t>
  </si>
  <si>
    <t>39.7399118044335, -8.805319134160236</t>
  </si>
  <si>
    <t>DSCF6961.JPG</t>
  </si>
  <si>
    <t>(04) 297</t>
  </si>
  <si>
    <t>39.73965966378161, -8.80519843475729</t>
  </si>
  <si>
    <t>Rua Francisco Pereira da Silva</t>
  </si>
  <si>
    <t>DSCF6954.JPG</t>
  </si>
  <si>
    <t>(04) 298</t>
  </si>
  <si>
    <t>39.739667913798804, -8.805419717003069</t>
  </si>
  <si>
    <t>DSCF6958.JPG</t>
  </si>
  <si>
    <t>(04) 441</t>
  </si>
  <si>
    <t>39.73964935126296, -8.805320475271092</t>
  </si>
  <si>
    <t>DSCF6956.JPG</t>
  </si>
  <si>
    <t>(04) 442</t>
  </si>
  <si>
    <t>39.73982260140625, -8.805390883256095</t>
  </si>
  <si>
    <t>DSCF6959.JPG</t>
  </si>
  <si>
    <t>(04) 443</t>
  </si>
  <si>
    <t>39.739785961020104, -8.804581130867797</t>
  </si>
  <si>
    <t>Avenida General Humberto Delgado</t>
  </si>
  <si>
    <t>DSCF6978.JPG</t>
  </si>
  <si>
    <t>(04) 444</t>
  </si>
  <si>
    <t>39.73992578200189, -8.804417613276335</t>
  </si>
  <si>
    <t>DSCF6975.JPG</t>
  </si>
  <si>
    <t>(04) 445</t>
  </si>
  <si>
    <t>39.740028391102584, -8.804573851953313</t>
  </si>
  <si>
    <t>Rua Henrique Sommer</t>
  </si>
  <si>
    <t>DSCF6973.JPG</t>
  </si>
  <si>
    <t>(04) 446</t>
  </si>
  <si>
    <t>39.740060359735345, -8.804674434789776</t>
  </si>
  <si>
    <t>DSCF6972.JPG</t>
  </si>
  <si>
    <t>(04) 618</t>
  </si>
  <si>
    <t>39.73988787820571, -8.805137110887609</t>
  </si>
  <si>
    <t>LRA05</t>
  </si>
  <si>
    <t>(05) 281</t>
  </si>
  <si>
    <t>39.73327747603558, -8.799070231882208</t>
  </si>
  <si>
    <t>Rua Vale de Lobos</t>
  </si>
  <si>
    <t>DSCF6984.JPG</t>
  </si>
  <si>
    <t>(05) 282</t>
  </si>
  <si>
    <t>39.73327077058168, -8.799138645504787</t>
  </si>
  <si>
    <t>DSCF6985.JPG</t>
  </si>
  <si>
    <t>(05) 283</t>
  </si>
  <si>
    <t>39.733205835214754, -8.79904085226044</t>
  </si>
  <si>
    <t>DSCF6983.JPG</t>
  </si>
  <si>
    <t>(05) 284</t>
  </si>
  <si>
    <t>39.73334964765728, -8.799163450247303</t>
  </si>
  <si>
    <t>DSCF6986.JPG</t>
  </si>
  <si>
    <t>(05) 285</t>
  </si>
  <si>
    <t>39.73346366877073, -8.799143323542358</t>
  </si>
  <si>
    <t>RuaVale de Lobos</t>
  </si>
  <si>
    <t>(05) 286</t>
  </si>
  <si>
    <t>39.73377602243674, -8.799135565536073</t>
  </si>
  <si>
    <t>DSCF6989.JPG</t>
  </si>
  <si>
    <t>(05) 287</t>
  </si>
  <si>
    <t>39.73379716608469, -8.799317965933774</t>
  </si>
  <si>
    <t>DSCF6992.JPG</t>
  </si>
  <si>
    <t>(05) 288</t>
  </si>
  <si>
    <t>39.73376880265303, -8.799220059837948</t>
  </si>
  <si>
    <t>DSCF6990.JPG</t>
  </si>
  <si>
    <t>(05) 447</t>
  </si>
  <si>
    <t>39.733804385865405, -8.799226095145224</t>
  </si>
  <si>
    <t>DSCF6991.JPG</t>
  </si>
  <si>
    <t>LRA06</t>
  </si>
  <si>
    <t>(06) 280</t>
  </si>
  <si>
    <t>39.745701214018986, -8.795940159028204</t>
  </si>
  <si>
    <t>Rua Paulo VI</t>
  </si>
  <si>
    <t>DSCF6994_1.jpg</t>
  </si>
  <si>
    <t>LRA07</t>
  </si>
  <si>
    <t>(07) 278</t>
  </si>
  <si>
    <t>39.746669561729775, -8.795305894924153</t>
  </si>
  <si>
    <t>DSCF7001.JPG</t>
  </si>
  <si>
    <t>(07) 279</t>
  </si>
  <si>
    <t>39.74674951877665, -8.795399822980922</t>
  </si>
  <si>
    <t>DSCF6999_1.JPG</t>
  </si>
  <si>
    <t>LRA08</t>
  </si>
  <si>
    <t>(08) 277</t>
  </si>
  <si>
    <t>39.74835173708985, -8.79440243426616</t>
  </si>
  <si>
    <t>DSCF7009.JPG</t>
  </si>
  <si>
    <t>LRA09</t>
  </si>
  <si>
    <t>(09) 271</t>
  </si>
  <si>
    <t>39.7573975143798, -8.786936671892814</t>
  </si>
  <si>
    <t>Rua Paulo VI (Vale Sepal)</t>
  </si>
  <si>
    <t>Marrazes e Barosa</t>
  </si>
  <si>
    <t>Solar</t>
  </si>
  <si>
    <t>DSCF7026.JPG</t>
  </si>
  <si>
    <t>(09) 272</t>
  </si>
  <si>
    <t>39.756622343704294, -8.787583043655724</t>
  </si>
  <si>
    <t>DSCF7024.JPG</t>
  </si>
  <si>
    <t>(09) 273</t>
  </si>
  <si>
    <t>39.75647336431477, -8.787774821600369</t>
  </si>
  <si>
    <t>Rua da Escola</t>
  </si>
  <si>
    <t>DSCF7020.JPG</t>
  </si>
  <si>
    <t>(09) 274</t>
  </si>
  <si>
    <t>39.756390884238826, -8.78787272222786</t>
  </si>
  <si>
    <t>DSCF7021.JPG</t>
  </si>
  <si>
    <t>(09) 275</t>
  </si>
  <si>
    <t>39.756349644163805, -8.78766418048026</t>
  </si>
  <si>
    <t>DSCF7015.JPG</t>
  </si>
  <si>
    <t>(09) 276</t>
  </si>
  <si>
    <t>39.75549525792577, -8.78838441977073</t>
  </si>
  <si>
    <t>DSCF7011.JPG</t>
  </si>
  <si>
    <t>(09) 448</t>
  </si>
  <si>
    <t>39.75655560994511, -8.78749118054081</t>
  </si>
  <si>
    <t>DSCF7023.JPG</t>
  </si>
  <si>
    <t>LRA10</t>
  </si>
  <si>
    <t>(10) 268</t>
  </si>
  <si>
    <t>39.7520901653126, -8.81063722553172</t>
  </si>
  <si>
    <t>Avenida 22 de Maio</t>
  </si>
  <si>
    <t>DSCF7037.JPG</t>
  </si>
  <si>
    <t>(10) 269</t>
  </si>
  <si>
    <t>39.752144919203104, -8.809867634716907</t>
  </si>
  <si>
    <t>DSCF7046.JPG</t>
  </si>
  <si>
    <t>(10) 270</t>
  </si>
  <si>
    <t>39.751774038005145, -8.808927697289798</t>
  </si>
  <si>
    <t>DSCF7040.JPG</t>
  </si>
  <si>
    <t>LRA11</t>
  </si>
  <si>
    <t>(11) 265</t>
  </si>
  <si>
    <t>39.761755100026576, -8.822044521044512</t>
  </si>
  <si>
    <t>Rua Estrada da Figueira da Foz</t>
  </si>
  <si>
    <t>DSCF7067.JPG</t>
  </si>
  <si>
    <t>(11) 266</t>
  </si>
  <si>
    <t>39.76146079099341, -8.821808494923914</t>
  </si>
  <si>
    <t>DSCF7056.JPG</t>
  </si>
  <si>
    <t>(11) 267</t>
  </si>
  <si>
    <t>39.760151388420844, -8.821288153480285</t>
  </si>
  <si>
    <t>Estrada da Figueira da Foz</t>
  </si>
  <si>
    <t>DSCF7054.JPG</t>
  </si>
  <si>
    <t>(11) 449</t>
  </si>
  <si>
    <t>39.761489051245334, -8.821932253505624</t>
  </si>
  <si>
    <t>DSCF7058.JPG</t>
  </si>
  <si>
    <t>(11) 450</t>
  </si>
  <si>
    <t>39.76166121554922, -8.82207105782466</t>
  </si>
  <si>
    <t>Rua Dom Carlos I</t>
  </si>
  <si>
    <t>DSCF7065.JPG</t>
  </si>
  <si>
    <t>(11) 451</t>
  </si>
  <si>
    <t>39.761566886058546, -8.822099891569144</t>
  </si>
  <si>
    <t>DSCF7062.JPG</t>
  </si>
  <si>
    <t>(11) 452</t>
  </si>
  <si>
    <t>39.761734411023724, -8.821926218537492</t>
  </si>
  <si>
    <t>DSCF7071.JPG</t>
  </si>
  <si>
    <t>LRA12</t>
  </si>
  <si>
    <t>(12) 257</t>
  </si>
  <si>
    <t>39.76275163912311, -8.82268011755786</t>
  </si>
  <si>
    <t>Rua Francisco Clemente</t>
  </si>
  <si>
    <t>DSCF7082.JPG</t>
  </si>
  <si>
    <t>(12) 258</t>
  </si>
  <si>
    <t>39.762828957059064, -8.822675423692921</t>
  </si>
  <si>
    <t>Rua 25 de Abril</t>
  </si>
  <si>
    <t>DSCF7090.JPG</t>
  </si>
  <si>
    <t>(12) 259</t>
  </si>
  <si>
    <t>39.76284081246743, -8.822533937168338</t>
  </si>
  <si>
    <t>DSCF7099.JPG</t>
  </si>
  <si>
    <t>(12) 261</t>
  </si>
  <si>
    <t>39.76246963766316, -8.822140780674303</t>
  </si>
  <si>
    <t>Rua da Carreira de Tiro</t>
  </si>
  <si>
    <t>DSCF7097.JPG</t>
  </si>
  <si>
    <t>(12) 262</t>
  </si>
  <si>
    <t>39.76256448137171, -8.82210859416658</t>
  </si>
  <si>
    <t>DSCF7096.JPG</t>
  </si>
  <si>
    <t>(12) 263</t>
  </si>
  <si>
    <t>39.76237376291167, -8.822183025466085</t>
  </si>
  <si>
    <t>DSCF7072.JPG</t>
  </si>
  <si>
    <t>(12) 264</t>
  </si>
  <si>
    <t>39.76224438333382, -8.822332558616292</t>
  </si>
  <si>
    <t>Travessa do Sol</t>
  </si>
  <si>
    <t>DSCF7075.JPG</t>
  </si>
  <si>
    <t>(12) 453</t>
  </si>
  <si>
    <t>39.76261735058968, -8.82264170467445</t>
  </si>
  <si>
    <t>DSCF7083.JPG</t>
  </si>
  <si>
    <t>LRA14</t>
  </si>
  <si>
    <t>(14) 210</t>
  </si>
  <si>
    <t>39.83570716715429, -8.839896445891739</t>
  </si>
  <si>
    <t>Rua Joaquim de Sousa</t>
  </si>
  <si>
    <t>Souto de Carpalhosa e Ortigosa</t>
  </si>
  <si>
    <t>DSCF7120.JPG</t>
  </si>
  <si>
    <t>(14) 211</t>
  </si>
  <si>
    <t>39.83348663348355, -8.83994670923667</t>
  </si>
  <si>
    <t>DSCF7112.JPG</t>
  </si>
  <si>
    <t>(14) 212</t>
  </si>
  <si>
    <t>39.82623114314821, -8.840001293943185</t>
  </si>
  <si>
    <t>DSCF7108.JPG</t>
  </si>
  <si>
    <t>(14) 213</t>
  </si>
  <si>
    <t>39.82421929868974, -8.839513366595018</t>
  </si>
  <si>
    <t>DSCF7106.JPG</t>
  </si>
  <si>
    <t>LRA15</t>
  </si>
  <si>
    <t>(15) 206</t>
  </si>
  <si>
    <t>39.8518461251427, -8.835198079529803</t>
  </si>
  <si>
    <t>Estrada Nacional N.º 109</t>
  </si>
  <si>
    <t>DSCF7133.JPG</t>
  </si>
  <si>
    <t>(15) 207</t>
  </si>
  <si>
    <t>39.850140589356585, -8.835151886538455</t>
  </si>
  <si>
    <t>DSCF7130.JPG</t>
  </si>
  <si>
    <t>(15) 208</t>
  </si>
  <si>
    <t>39.84779831019638, -8.835101686161275</t>
  </si>
  <si>
    <t>DSCF7127.JPG</t>
  </si>
  <si>
    <t>(15) 209</t>
  </si>
  <si>
    <t>39.84652497659474, -8.835146665536811</t>
  </si>
  <si>
    <t>DSCF7125.JPG</t>
  </si>
  <si>
    <t>LRA16</t>
  </si>
  <si>
    <t>(16) 202</t>
  </si>
  <si>
    <t>39.8716992839839, -8.839210220611275</t>
  </si>
  <si>
    <t>Monte Redondo e Carreira</t>
  </si>
  <si>
    <t>DSCF7245.JPG</t>
  </si>
  <si>
    <t>(16) 203</t>
  </si>
  <si>
    <t>39.869934184872164, -8.839305935544125</t>
  </si>
  <si>
    <t>DSCF7246.JPG</t>
  </si>
  <si>
    <t>(16) 204</t>
  </si>
  <si>
    <t>39.864681186663574, -8.838966745391401</t>
  </si>
  <si>
    <t>DSCF7182.JPG</t>
  </si>
  <si>
    <t>(16) 205</t>
  </si>
  <si>
    <t>39.86289527551592, -8.83890934648754</t>
  </si>
  <si>
    <t>DSCF7179.JPG</t>
  </si>
  <si>
    <t>LRA17</t>
  </si>
  <si>
    <t>(17) 190</t>
  </si>
  <si>
    <t>39.895483453705175, -8.834269922286493</t>
  </si>
  <si>
    <t>Estrada Nacional N.º 109-9</t>
  </si>
  <si>
    <t>DSCF7188.JPG</t>
  </si>
  <si>
    <t>(17) 191</t>
  </si>
  <si>
    <t>39.896200545577386, -8.831093207825129</t>
  </si>
  <si>
    <t>DSCF7219.JPG</t>
  </si>
  <si>
    <t>(17) 192</t>
  </si>
  <si>
    <t>39.895824392353646, -8.831723200396794</t>
  </si>
  <si>
    <t>Rua Luis Pereira da Costa</t>
  </si>
  <si>
    <t>DSCF7216.JPG</t>
  </si>
  <si>
    <t>(17) 193</t>
  </si>
  <si>
    <t>39.895712829475585, -8.831754696300788</t>
  </si>
  <si>
    <t>Rua da Bajouca</t>
  </si>
  <si>
    <t>DSCF7222.JPG</t>
  </si>
  <si>
    <t>(17) 194</t>
  </si>
  <si>
    <t>39.89563250553613, -8.831862333712529</t>
  </si>
  <si>
    <t>DSCF7221.JPG</t>
  </si>
  <si>
    <t>(17) 195</t>
  </si>
  <si>
    <t>39.89594168506081, -8.832040022649062</t>
  </si>
  <si>
    <t>Rua de Fonte Cova</t>
  </si>
  <si>
    <t>DSCF7212.JPG</t>
  </si>
  <si>
    <t>(17) 196</t>
  </si>
  <si>
    <t>39.895548629986834, -8.832046352256262</t>
  </si>
  <si>
    <t>DSCF7206.JPG</t>
  </si>
  <si>
    <t>(17) 197</t>
  </si>
  <si>
    <t>39.89527923049688, -8.832587843393412</t>
  </si>
  <si>
    <t>DSCF7202.JPG</t>
  </si>
  <si>
    <t>(17) 198</t>
  </si>
  <si>
    <t>39.89506469473241, -8.832901044020216</t>
  </si>
  <si>
    <t>Largo de Dom Pedro de Castilho</t>
  </si>
  <si>
    <t>DSCF7198.JPG</t>
  </si>
  <si>
    <t>(17) 199</t>
  </si>
  <si>
    <t>39.895181477361504, -8.832868186960305</t>
  </si>
  <si>
    <t>DSCF7197.JPG</t>
  </si>
  <si>
    <t>(17) 200</t>
  </si>
  <si>
    <t>39.89489640733555, -8.83272280276622</t>
  </si>
  <si>
    <t>DSCF7186.JPG</t>
  </si>
  <si>
    <t>(17) 201</t>
  </si>
  <si>
    <t>39.89382902110353, -8.832950631550457</t>
  </si>
  <si>
    <t>(17) 454</t>
  </si>
  <si>
    <t>39.895248090012856, -8.832794125518697</t>
  </si>
  <si>
    <t>DSCF7200.JPG</t>
  </si>
  <si>
    <t>(17) 455</t>
  </si>
  <si>
    <t>39.89516882129025, -8.832826329023943</t>
  </si>
  <si>
    <t>DSCF7199.JPG</t>
  </si>
  <si>
    <t>(17) 456</t>
  </si>
  <si>
    <t>39.895628793236725, -8.832110251992379</t>
  </si>
  <si>
    <t>DSCF7209.JPG</t>
  </si>
  <si>
    <t>(17) 457</t>
  </si>
  <si>
    <t>39.89592232073489, -8.831958890948522</t>
  </si>
  <si>
    <t>DSCF7215.JPG</t>
  </si>
  <si>
    <t>LRA18</t>
  </si>
  <si>
    <t>(18) 186</t>
  </si>
  <si>
    <t>39.91429500804418, -8.818976857827835</t>
  </si>
  <si>
    <t>DSCF7227.JPG</t>
  </si>
  <si>
    <t>(18) 187</t>
  </si>
  <si>
    <t>39.91280161340658, -8.820625699114728</t>
  </si>
  <si>
    <t>DSCF7229.JPG</t>
  </si>
  <si>
    <t>(18) 188</t>
  </si>
  <si>
    <t>39.90850134910759, -8.821180944993454</t>
  </si>
  <si>
    <t>DSCF7225.JPG</t>
  </si>
  <si>
    <t>(18) 189</t>
  </si>
  <si>
    <t>39.90674167989896, -8.821669662966572</t>
  </si>
  <si>
    <t>DSCF7223.JPG</t>
  </si>
  <si>
    <t>LRA19</t>
  </si>
  <si>
    <t>(19) 182</t>
  </si>
  <si>
    <t>39.8985225478682, -8.885817353205134</t>
  </si>
  <si>
    <t>Rua do Casal de Cima</t>
  </si>
  <si>
    <t>Coimbrão</t>
  </si>
  <si>
    <t>DSCF9999.JPG</t>
  </si>
  <si>
    <t>(19) 183</t>
  </si>
  <si>
    <t>39.897622018224524, -8.883956402692146</t>
  </si>
  <si>
    <t>Rua Nossa Senhora de Fátima</t>
  </si>
  <si>
    <t>DSCF7240.JPG</t>
  </si>
  <si>
    <t>(19) 184</t>
  </si>
  <si>
    <t>39.89769666321001, -8.883893327760292</t>
  </si>
  <si>
    <t>DSCF7235.JPG</t>
  </si>
  <si>
    <t>(19) 185</t>
  </si>
  <si>
    <t>39.89660550748574, -8.882101839137361</t>
  </si>
  <si>
    <t>DSCF7232.JPG</t>
  </si>
  <si>
    <t>LRA20</t>
  </si>
  <si>
    <t>(20) 175</t>
  </si>
  <si>
    <t>39.851525114371384, -8.85748073154702</t>
  </si>
  <si>
    <t>Rua de Leiria</t>
  </si>
  <si>
    <t>Monte Real e Carvide</t>
  </si>
  <si>
    <t>DSCF7134.JPG</t>
  </si>
  <si>
    <t>(20) 176</t>
  </si>
  <si>
    <t>39.85143959149835, -8.8574968376081</t>
  </si>
  <si>
    <t>(20) 177</t>
  </si>
  <si>
    <t>39.85092617125423, -8.859422491596753</t>
  </si>
  <si>
    <t>DSCF7140.JPG</t>
  </si>
  <si>
    <t>LRA21</t>
  </si>
  <si>
    <t>(21) 178</t>
  </si>
  <si>
    <t>39.85772012538429, -8.884667263333077</t>
  </si>
  <si>
    <t>Rua Principal</t>
  </si>
  <si>
    <t>DSCF7161.JPG</t>
  </si>
  <si>
    <t>(21) 179</t>
  </si>
  <si>
    <t>39.85915469920141, -8.886898421762666</t>
  </si>
  <si>
    <t>DSCF7165.JPG</t>
  </si>
  <si>
    <t>(21) 180</t>
  </si>
  <si>
    <t>39.85916653800902, -8.886771687388723</t>
  </si>
  <si>
    <t>DSCF7164.JPG</t>
  </si>
  <si>
    <t>(21) 181</t>
  </si>
  <si>
    <t>39.85968646459802, -8.889641118390644</t>
  </si>
  <si>
    <t>DSCF7177.JPG</t>
  </si>
  <si>
    <t>LRA22</t>
  </si>
  <si>
    <t>(22) 171</t>
  </si>
  <si>
    <t>39.84058906078226, -8.877441751521028</t>
  </si>
  <si>
    <t>Estrada da Base Aérea N.º 5</t>
  </si>
  <si>
    <t>DSCF7155.JPG</t>
  </si>
  <si>
    <t>(22) 172</t>
  </si>
  <si>
    <t>39.842400111534175, -8.87626866847831</t>
  </si>
  <si>
    <t>DSCF7146.JPG</t>
  </si>
  <si>
    <t>(22) 173</t>
  </si>
  <si>
    <t>39.84250626239128, -8.876349203414687</t>
  </si>
  <si>
    <t>DSCF7147.JPG</t>
  </si>
  <si>
    <t>(22) 174</t>
  </si>
  <si>
    <t>39.84464263238536, -8.875052475366896</t>
  </si>
  <si>
    <t>DSCF7142.JPG</t>
  </si>
  <si>
    <t>LRA23</t>
  </si>
  <si>
    <t>(23) 167</t>
  </si>
  <si>
    <t>39.84887187389206, -8.799269805883634</t>
  </si>
  <si>
    <t>DSCF8047.JPG</t>
  </si>
  <si>
    <t>(23) 168</t>
  </si>
  <si>
    <t>39.84917706957816, -8.800523157559065</t>
  </si>
  <si>
    <t>DSCF8048.JPG</t>
  </si>
  <si>
    <t>(23) 169</t>
  </si>
  <si>
    <t>39.84916426706526, -8.801560129594842</t>
  </si>
  <si>
    <t>DSCF8043.JPG</t>
  </si>
  <si>
    <t>(23) 170</t>
  </si>
  <si>
    <t>39.849942781693365, -8.8038339900815</t>
  </si>
  <si>
    <t>DSCF8042.JPG</t>
  </si>
  <si>
    <t>LRA24</t>
  </si>
  <si>
    <t>(24) 241</t>
  </si>
  <si>
    <t>39.712994013344314, -8.829160583310305</t>
  </si>
  <si>
    <t>Estrada Nacional N.º 1</t>
  </si>
  <si>
    <t>Parceiros e Azoia</t>
  </si>
  <si>
    <t>DSCF7255.JPG</t>
  </si>
  <si>
    <t>(24) 242</t>
  </si>
  <si>
    <t>39.71299227426602, -8.829348224027617</t>
  </si>
  <si>
    <t>LRA25</t>
  </si>
  <si>
    <t>(25) 239</t>
  </si>
  <si>
    <t>39.71427813202665, -8.832628860524418</t>
  </si>
  <si>
    <t>Estrada da Maceira</t>
  </si>
  <si>
    <t>DSCF7264_1.JPG</t>
  </si>
  <si>
    <t>(25) 240</t>
  </si>
  <si>
    <t>39.71440612743695, -8.832653014218673</t>
  </si>
  <si>
    <t>DSCF7265.JPG</t>
  </si>
  <si>
    <t>LRA26</t>
  </si>
  <si>
    <t>(26) 235</t>
  </si>
  <si>
    <t>39.710437283111446, -8.843641469638692</t>
  </si>
  <si>
    <t>DSCF7286.JPG</t>
  </si>
  <si>
    <t>(26) 236</t>
  </si>
  <si>
    <t>39.711014044862324, -8.842352393569987</t>
  </si>
  <si>
    <t>DSCF7277.JPG</t>
  </si>
  <si>
    <t>(26) 237</t>
  </si>
  <si>
    <t>39.71115435326714, -8.842399332227002</t>
  </si>
  <si>
    <t>DSCF7276.JPG</t>
  </si>
  <si>
    <t>(26) 238</t>
  </si>
  <si>
    <t>39.711907332315356, -8.840927039893664</t>
  </si>
  <si>
    <t>DSCF7274.JPG</t>
  </si>
  <si>
    <t>LRA27</t>
  </si>
  <si>
    <t>(27) 231</t>
  </si>
  <si>
    <t>39.684875026846086, -8.891622079798953</t>
  </si>
  <si>
    <t>Estrada Principal</t>
  </si>
  <si>
    <t>Maceira</t>
  </si>
  <si>
    <t>DSCF7332.JPG</t>
  </si>
  <si>
    <t>(27) 232</t>
  </si>
  <si>
    <t>39.684701186296806, -8.889785406609883</t>
  </si>
  <si>
    <t>DSCF7292.JPG</t>
  </si>
  <si>
    <t>(27) 233</t>
  </si>
  <si>
    <t>39.684801297391914, -8.889767301699319</t>
  </si>
  <si>
    <t>DSCF7293.JPG</t>
  </si>
  <si>
    <t>(27) 234</t>
  </si>
  <si>
    <t>39.68492267159806, -8.888758908283492</t>
  </si>
  <si>
    <t>DSCF7291.JPG</t>
  </si>
  <si>
    <t>LRA28</t>
  </si>
  <si>
    <t>(28) 227</t>
  </si>
  <si>
    <t>39.68426386611128, -8.90005275760188</t>
  </si>
  <si>
    <t>DSCFLRA28_1.jpg</t>
  </si>
  <si>
    <t>(28) 228</t>
  </si>
  <si>
    <t>39.68464708761059, -8.897956318587859</t>
  </si>
  <si>
    <t>DSCF7324.JPG</t>
  </si>
  <si>
    <t>(28) 229</t>
  </si>
  <si>
    <t>39.68472242902278, -8.897927484841407</t>
  </si>
  <si>
    <t>DSCF7319_1.JPG</t>
  </si>
  <si>
    <t>(28) 230</t>
  </si>
  <si>
    <t>39.68504847257792, -8.896175630110092</t>
  </si>
  <si>
    <t>DSCF7314.JPG</t>
  </si>
  <si>
    <t>LRA29</t>
  </si>
  <si>
    <t>(29) 221</t>
  </si>
  <si>
    <t>39.67364391323109, -8.903595873868333</t>
  </si>
  <si>
    <t>Estrada Nacional 356</t>
  </si>
  <si>
    <t>DSCF7581.JPG</t>
  </si>
  <si>
    <t>(29) 222</t>
  </si>
  <si>
    <t>39.67335097041887, -8.900371202196554</t>
  </si>
  <si>
    <t>DSCF7584.JPG</t>
  </si>
  <si>
    <t>(29) 223</t>
  </si>
  <si>
    <t>39.67325239948269, -8.900251733591652</t>
  </si>
  <si>
    <t>Rua Central</t>
  </si>
  <si>
    <t>DSCF7598.JPG</t>
  </si>
  <si>
    <t>(29) 224</t>
  </si>
  <si>
    <t>39.67337776282049, -8.899967488924325</t>
  </si>
  <si>
    <t>Rua do Guilherme</t>
  </si>
  <si>
    <t>DSCF7592.JPG</t>
  </si>
  <si>
    <t>(29) 225</t>
  </si>
  <si>
    <t>39.673246413765085, -8.899812909911336</t>
  </si>
  <si>
    <t>DSCF7593.JPG</t>
  </si>
  <si>
    <t>(29) 226</t>
  </si>
  <si>
    <t>39.672658124168805, -8.897833051548854</t>
  </si>
  <si>
    <t>DSCF7601.JPG</t>
  </si>
  <si>
    <t>(29) 473</t>
  </si>
  <si>
    <t>39.67341496948755, -8.900269948807848</t>
  </si>
  <si>
    <t>DSCF7588.JPG</t>
  </si>
  <si>
    <t>(29) 474</t>
  </si>
  <si>
    <t>39.67319583373746, -8.89989807004621</t>
  </si>
  <si>
    <t>DSCF7596.JPG</t>
  </si>
  <si>
    <t>LRA30</t>
  </si>
  <si>
    <t>(30) 217</t>
  </si>
  <si>
    <t>39.705704556246964, -8.911539244566022</t>
  </si>
  <si>
    <t>Estrada da Marinha Grande</t>
  </si>
  <si>
    <t>DSCFLRA30.jpg</t>
  </si>
  <si>
    <t>(30) 218</t>
  </si>
  <si>
    <t>39.70400504102588, -8.911098697793529</t>
  </si>
  <si>
    <t>DSCF7308.JPG</t>
  </si>
  <si>
    <t>(30) 219</t>
  </si>
  <si>
    <t>39.70401226352266, -8.91099677385258</t>
  </si>
  <si>
    <t>DSCF7304.JPG</t>
  </si>
  <si>
    <t>(30) 220</t>
  </si>
  <si>
    <t>39.70246063790322, -8.910277627254102</t>
  </si>
  <si>
    <t>DSCF7303.JPG</t>
  </si>
  <si>
    <t>LRA32</t>
  </si>
  <si>
    <t>(32) 248</t>
  </si>
  <si>
    <t>39.740307628784606, -8.775473190956015</t>
  </si>
  <si>
    <t>Rua Professor Abílio Alves de Brito</t>
  </si>
  <si>
    <t>DSCF7369.JPG</t>
  </si>
  <si>
    <t>(32) 249</t>
  </si>
  <si>
    <t>39.74139893424372, -8.777253670564546</t>
  </si>
  <si>
    <t>Rua Coronel José Pereira Pascoal</t>
  </si>
  <si>
    <t>DSCF7352.JPG</t>
  </si>
  <si>
    <t>(32) 250</t>
  </si>
  <si>
    <t>39.74139936723586, -8.777436759432812</t>
  </si>
  <si>
    <t>Rua Barão de Viamonte</t>
  </si>
  <si>
    <t>DSCF7355.JPG</t>
  </si>
  <si>
    <t>(32) 251</t>
  </si>
  <si>
    <t>39.74127716685188, -8.77762920792976</t>
  </si>
  <si>
    <t>DSCF7359.JPG</t>
  </si>
  <si>
    <t>(32) 252</t>
  </si>
  <si>
    <t>39.740579472903896, -8.779700320143256</t>
  </si>
  <si>
    <t>DSCF7350.JPG</t>
  </si>
  <si>
    <t>(32) 458</t>
  </si>
  <si>
    <t>39.74135065709587, -8.77758295791162</t>
  </si>
  <si>
    <t>DSCF7357.JPG</t>
  </si>
  <si>
    <t>(32) 459</t>
  </si>
  <si>
    <t>39.74143779569578, -8.777240976263066</t>
  </si>
  <si>
    <t>sshot-10.jpg</t>
  </si>
  <si>
    <t>LRA33</t>
  </si>
  <si>
    <t>(33) 243</t>
  </si>
  <si>
    <t>39.73842284195078, -8.773031241560705</t>
  </si>
  <si>
    <t>DSCF7375.JPG</t>
  </si>
  <si>
    <t>(33) 244</t>
  </si>
  <si>
    <t>39.738565165389936, -8.773375885241114</t>
  </si>
  <si>
    <t>DSCF7383.JPG</t>
  </si>
  <si>
    <t>(33) 245</t>
  </si>
  <si>
    <t>39.73856652479277, -8.773176153011997</t>
  </si>
  <si>
    <t>Rua da Fontinha</t>
  </si>
  <si>
    <t>DSCF7373.JPG</t>
  </si>
  <si>
    <t>(33) 246</t>
  </si>
  <si>
    <t>39.738399542521236, -8.773231721012626</t>
  </si>
  <si>
    <t>Rua da Mata Nacional</t>
  </si>
  <si>
    <t>DSCF7372.JPG</t>
  </si>
  <si>
    <t>(33) 247</t>
  </si>
  <si>
    <t>39.7397729468274, -8.774932050469856</t>
  </si>
  <si>
    <t>DSCF7371.JPG</t>
  </si>
  <si>
    <t>(33) 460</t>
  </si>
  <si>
    <t>39.73859173456142, -8.7732424369679</t>
  </si>
  <si>
    <t>DSCF7380.JPG</t>
  </si>
  <si>
    <t>LRA34</t>
  </si>
  <si>
    <t>(34) 253</t>
  </si>
  <si>
    <t>39.755246166951515, -8.78158795625465</t>
  </si>
  <si>
    <t>DSCF7398.JPG</t>
  </si>
  <si>
    <t>(34) 254</t>
  </si>
  <si>
    <t>39.75437175109659, -8.782849566372597</t>
  </si>
  <si>
    <t>DSCF7393.JPG</t>
  </si>
  <si>
    <t>(34) 255</t>
  </si>
  <si>
    <t>39.75429957883342, -8.782812685999227</t>
  </si>
  <si>
    <t>DSCF7388.JPG</t>
  </si>
  <si>
    <t>(34) 256</t>
  </si>
  <si>
    <t>39.753177465997176, -8.784102084206443</t>
  </si>
  <si>
    <t>DSCF7386.JPG</t>
  </si>
  <si>
    <t>LRA35</t>
  </si>
  <si>
    <t>(35) 99</t>
  </si>
  <si>
    <t>39.76187067196804, -8.75645993029488</t>
  </si>
  <si>
    <t>Rua 7 de Fevereiro 1928</t>
  </si>
  <si>
    <t>Santa Eufémia e Boa Vista</t>
  </si>
  <si>
    <t>DSCF7419.JPG</t>
  </si>
  <si>
    <t>(35) 100</t>
  </si>
  <si>
    <t>39.76150069456159, -8.759295937581005</t>
  </si>
  <si>
    <t>DSCF7403.JPG</t>
  </si>
  <si>
    <t>(35) 101</t>
  </si>
  <si>
    <t>39.761417189580044, -8.759330135745401</t>
  </si>
  <si>
    <t>DSCF7400.JPG</t>
  </si>
  <si>
    <t>(35) 102</t>
  </si>
  <si>
    <t>39.76110276724317, -8.761627593117094</t>
  </si>
  <si>
    <t>LRA36</t>
  </si>
  <si>
    <t>(36) 96</t>
  </si>
  <si>
    <t>39.76051409982358, -8.75067995438917</t>
  </si>
  <si>
    <t>Avenida Dom João Pereira Venâncio</t>
  </si>
  <si>
    <t>DSCF7430.JPG</t>
  </si>
  <si>
    <t>(36) 97</t>
  </si>
  <si>
    <t>39.760461505615766, -8.75077050692983</t>
  </si>
  <si>
    <t>DSCF7425.JPG</t>
  </si>
  <si>
    <t>(36) 98</t>
  </si>
  <si>
    <t>39.76171445294916, -8.753198190477296</t>
  </si>
  <si>
    <t>DSCF7421.JPG</t>
  </si>
  <si>
    <t>(36) 461</t>
  </si>
  <si>
    <t>39.759424579747694, -8.748657143859342</t>
  </si>
  <si>
    <t>DSCF7436.JPG</t>
  </si>
  <si>
    <t>LRA37</t>
  </si>
  <si>
    <t>(37) 92</t>
  </si>
  <si>
    <t>39.736952874807905, -8.703900673271665</t>
  </si>
  <si>
    <t>Rua do Carmo</t>
  </si>
  <si>
    <t>Caranguejeira</t>
  </si>
  <si>
    <t>DSCF7455.JPG</t>
  </si>
  <si>
    <t>(37) 93</t>
  </si>
  <si>
    <t>39.73881505492644, -8.70561060981503</t>
  </si>
  <si>
    <t>DSCF7448.JPG</t>
  </si>
  <si>
    <t>(37) 94</t>
  </si>
  <si>
    <t>39.73878823996088, -8.705703823808713</t>
  </si>
  <si>
    <t>DSCF7440.JPG</t>
  </si>
  <si>
    <t>(37) 95</t>
  </si>
  <si>
    <t>39.73970366655988, -8.706972508815294</t>
  </si>
  <si>
    <t>DSCF7438.JPG</t>
  </si>
  <si>
    <t>LRA38</t>
  </si>
  <si>
    <t>(38) 89</t>
  </si>
  <si>
    <t>39.728913287848165, -8.70262112532293</t>
  </si>
  <si>
    <t>Rua de Fátima</t>
  </si>
  <si>
    <t>DSCF7472.JPG</t>
  </si>
  <si>
    <t>(38) 90</t>
  </si>
  <si>
    <t>39.730072357457125, -8.703216231277688</t>
  </si>
  <si>
    <t>DSCF7462.JPG</t>
  </si>
  <si>
    <t>(38) 91</t>
  </si>
  <si>
    <t>39.731296819261175, -8.7041450412929</t>
  </si>
  <si>
    <t>DSCF7458.JPG</t>
  </si>
  <si>
    <t>(38) 462</t>
  </si>
  <si>
    <t>39.730078776530874, -8.703323521432054</t>
  </si>
  <si>
    <t>DSCF7465.JPG</t>
  </si>
  <si>
    <t>LRA39</t>
  </si>
  <si>
    <t>(39) 83</t>
  </si>
  <si>
    <t>39.71270261301547, -8.696993861779069</t>
  </si>
  <si>
    <t>Estrada Nacional 113</t>
  </si>
  <si>
    <t>Santa Catarina da Serra e Chainça</t>
  </si>
  <si>
    <t>DSCF7488.JPG</t>
  </si>
  <si>
    <t>(39) 84</t>
  </si>
  <si>
    <t>39.7134363379566, -8.697285248910465</t>
  </si>
  <si>
    <t>Estrada de Sete Rios</t>
  </si>
  <si>
    <t>DSCF7475.JPG</t>
  </si>
  <si>
    <t>(39) 85</t>
  </si>
  <si>
    <t>39.713536188403985, -8.697452803859338</t>
  </si>
  <si>
    <t>DSCF7474.JPG</t>
  </si>
  <si>
    <t>(39) 86</t>
  </si>
  <si>
    <t>39.713284256640875, -8.697296860138037</t>
  </si>
  <si>
    <t>DSCF7493.JPG</t>
  </si>
  <si>
    <t>(39) 87</t>
  </si>
  <si>
    <t>39.71346674703353, -8.69765619577938</t>
  </si>
  <si>
    <t>DSCF7482.JPG</t>
  </si>
  <si>
    <t>(39) 88</t>
  </si>
  <si>
    <t>39.714570062181856, -8.69886536272562</t>
  </si>
  <si>
    <t>DSCF7485.JPG</t>
  </si>
  <si>
    <t>(39) 463</t>
  </si>
  <si>
    <t>39.71271573649469, -8.697115865287767</t>
  </si>
  <si>
    <t>DSCF7490.JPG</t>
  </si>
  <si>
    <t>LRA40</t>
  </si>
  <si>
    <t>(40) 80</t>
  </si>
  <si>
    <t>39.710252959543986, -8.696163331967337</t>
  </si>
  <si>
    <t>DSCF7498.JPG</t>
  </si>
  <si>
    <t>(40) 81</t>
  </si>
  <si>
    <t>39.71023645247196, -8.696056043608444</t>
  </si>
  <si>
    <t>DSCF7501.JPG</t>
  </si>
  <si>
    <t>(40) 82</t>
  </si>
  <si>
    <t>39.7089061040023, -8.695922044972543</t>
  </si>
  <si>
    <t>DSCF7507.JPG</t>
  </si>
  <si>
    <t>LRA41</t>
  </si>
  <si>
    <t>(41) 77</t>
  </si>
  <si>
    <t>39.68013211759743, -8.658523797758178</t>
  </si>
  <si>
    <t>Rua de Tomar</t>
  </si>
  <si>
    <t>DSCF7526.JPG</t>
  </si>
  <si>
    <t>(41) 78</t>
  </si>
  <si>
    <t>39.681045776389766, -8.661558399736204</t>
  </si>
  <si>
    <t>DSCF7518.JPG</t>
  </si>
  <si>
    <t>(41) 79</t>
  </si>
  <si>
    <t>39.68112025668957, -8.662034336633026</t>
  </si>
  <si>
    <t>DSCF7512.JPG</t>
  </si>
  <si>
    <t>(41) 464</t>
  </si>
  <si>
    <t>39.681326007122, -8.663825579382612</t>
  </si>
  <si>
    <t>DSCF7508.JPG</t>
  </si>
  <si>
    <t>(41) 465</t>
  </si>
  <si>
    <t>39.68120931800921, -8.661902483769698</t>
  </si>
  <si>
    <t>Rua Bento da Cunha</t>
  </si>
  <si>
    <t>DSCF7523.JPG</t>
  </si>
  <si>
    <t>(41) 466</t>
  </si>
  <si>
    <t>39.680979510945654, -8.661790440320543</t>
  </si>
  <si>
    <t>DSCF7515.JPG</t>
  </si>
  <si>
    <t>(41) 467</t>
  </si>
  <si>
    <t>39.68097115588303, -8.661655830344014</t>
  </si>
  <si>
    <t>DSCF7516.JPG</t>
  </si>
  <si>
    <t>LRA42</t>
  </si>
  <si>
    <t>(42) 73</t>
  </si>
  <si>
    <t>39.66590019595687, -8.684695451148885</t>
  </si>
  <si>
    <t>Rua do Desportivo</t>
  </si>
  <si>
    <t>DSCF7533.JPG</t>
  </si>
  <si>
    <t>(42) 74</t>
  </si>
  <si>
    <t>39.665469787978964, -8.685058700774595</t>
  </si>
  <si>
    <t>DSCF7535.JPG</t>
  </si>
  <si>
    <t>(42) 75</t>
  </si>
  <si>
    <t>39.66609828361812, -8.684833217453168</t>
  </si>
  <si>
    <t>DSCF7530.JPG</t>
  </si>
  <si>
    <t>(42) 76</t>
  </si>
  <si>
    <t>39.66786448622534, -8.684175534706126</t>
  </si>
  <si>
    <t>DSCF7528.JPG</t>
  </si>
  <si>
    <t>(42) 468</t>
  </si>
  <si>
    <t>39.66579008549959, -8.684720498943973</t>
  </si>
  <si>
    <t>DSCF7534.JPG</t>
  </si>
  <si>
    <t>(42) 469</t>
  </si>
  <si>
    <t>39.66552656782603, -8.68513581428255</t>
  </si>
  <si>
    <t>Estrada Nacional 357</t>
  </si>
  <si>
    <t>DSCF7540.JPG</t>
  </si>
  <si>
    <t>(42) 470</t>
  </si>
  <si>
    <t>39.66379994036171, -8.686465864072012</t>
  </si>
  <si>
    <t>DSCF7543.JPG</t>
  </si>
  <si>
    <t>LRA43</t>
  </si>
  <si>
    <t>(43) 65</t>
  </si>
  <si>
    <t>39.65753422377517, -8.688264122695818</t>
  </si>
  <si>
    <t>DSCF7573-1.JPG</t>
  </si>
  <si>
    <t>(43) 66</t>
  </si>
  <si>
    <t>39.659206296946756, -8.688600793287407</t>
  </si>
  <si>
    <t>DSCF7563.JPG</t>
  </si>
  <si>
    <t>(43) 67</t>
  </si>
  <si>
    <t>39.65957329389642, -8.688515619995705</t>
  </si>
  <si>
    <t>Rua do Outeiro dos Moinhos</t>
  </si>
  <si>
    <t>DSCF7561.JPG</t>
  </si>
  <si>
    <t>(43) 68</t>
  </si>
  <si>
    <t>39.659359764923664, -8.688819813726884</t>
  </si>
  <si>
    <t>Largo da Capela</t>
  </si>
  <si>
    <t>DSCF7571.JPG</t>
  </si>
  <si>
    <t>(43) 69</t>
  </si>
  <si>
    <t>39.65964878008445, -8.688649652171577</t>
  </si>
  <si>
    <t>sshot-11.jpg</t>
  </si>
  <si>
    <t>(43) 72</t>
  </si>
  <si>
    <t>39.66178261855835, -8.68839614663974</t>
  </si>
  <si>
    <t>DSCF7544.JPG</t>
  </si>
  <si>
    <t>(43) 471</t>
  </si>
  <si>
    <t>39.65944239137945, -8.688822378270869</t>
  </si>
  <si>
    <t>DSCF7572.JPG</t>
  </si>
  <si>
    <t>(43) 472</t>
  </si>
  <si>
    <t>39.65925533853494, -8.688702717228354</t>
  </si>
  <si>
    <t>DSCF7569.JPG</t>
  </si>
  <si>
    <t>(43) 607</t>
  </si>
  <si>
    <t>39.65960780663816, -8.68855992965386</t>
  </si>
  <si>
    <t>LRA44</t>
  </si>
  <si>
    <t>(44) 482</t>
  </si>
  <si>
    <t>39.65405412789545, -8.687512891585598</t>
  </si>
  <si>
    <t>DSCF7579-1.JPG</t>
  </si>
  <si>
    <t>(44) 483</t>
  </si>
  <si>
    <t>39.653240076744964, -8.68722627946691</t>
  </si>
  <si>
    <t>DSCF7578-1.JPG</t>
  </si>
  <si>
    <t>(44) 484</t>
  </si>
  <si>
    <t>39.656184, -8.687993</t>
  </si>
  <si>
    <t>DSCF7576-1.JPG</t>
  </si>
  <si>
    <t>(44) 485</t>
  </si>
  <si>
    <t>39.65083015274087, -8.686778032128455</t>
  </si>
  <si>
    <t>LRA46</t>
  </si>
  <si>
    <t>(46) 107</t>
  </si>
  <si>
    <t>39.77632031269946, -8.760562287548101</t>
  </si>
  <si>
    <t>Rua Nossa Senhora das Dores</t>
  </si>
  <si>
    <t>DSCF7648.JPG</t>
  </si>
  <si>
    <t>(46) 108</t>
  </si>
  <si>
    <t>39.77501472218715, -8.761676285584066</t>
  </si>
  <si>
    <t>Estrada do Alqueidão</t>
  </si>
  <si>
    <t>DSCF7644.JPG</t>
  </si>
  <si>
    <t>(46) 109</t>
  </si>
  <si>
    <t>39.774967824286996, -8.761755410748748</t>
  </si>
  <si>
    <t>DSCF7643.JPG</t>
  </si>
  <si>
    <t>(46) 110</t>
  </si>
  <si>
    <t>39.77512502230587, -8.761790794780941</t>
  </si>
  <si>
    <t>DSCF7645.JPG</t>
  </si>
  <si>
    <t>(46) 111</t>
  </si>
  <si>
    <t>39.774869581947016, -8.761888088281546</t>
  </si>
  <si>
    <t>DSCF7633.JPG</t>
  </si>
  <si>
    <t>(46) 112</t>
  </si>
  <si>
    <t>39.773463223882324, -8.763352381168573</t>
  </si>
  <si>
    <t>DSCF7632.JPG</t>
  </si>
  <si>
    <t>(46) 475</t>
  </si>
  <si>
    <t>39.77495100916619, -8.761957825714829</t>
  </si>
  <si>
    <t>DSCF7639.JPG</t>
  </si>
  <si>
    <t>LRA47</t>
  </si>
  <si>
    <t>(47) 104</t>
  </si>
  <si>
    <t>39.77747831258336, -8.757696960936205</t>
  </si>
  <si>
    <t>DSCF7658.JPG</t>
  </si>
  <si>
    <t>(47) 105</t>
  </si>
  <si>
    <t>39.777396373010625, -8.75771573639901</t>
  </si>
  <si>
    <t>DSCF7660.JPG</t>
  </si>
  <si>
    <t>(47) 106</t>
  </si>
  <si>
    <t>39.776698177836636, -8.760004623418164</t>
  </si>
  <si>
    <t>DSCF7653.JPG</t>
  </si>
  <si>
    <t>LRA48</t>
  </si>
  <si>
    <t>(48) 103</t>
  </si>
  <si>
    <t>39.78315191877717, -8.751114457335085</t>
  </si>
  <si>
    <t>DSCF7665.JPG</t>
  </si>
  <si>
    <t>(48) 476</t>
  </si>
  <si>
    <t>39.784792116411616, -8.750097066169275</t>
  </si>
  <si>
    <t>DSCF7670.JPG</t>
  </si>
  <si>
    <t>LRA50</t>
  </si>
  <si>
    <t>(50) 59</t>
  </si>
  <si>
    <t>39.784948139018475, -8.641886626963164</t>
  </si>
  <si>
    <t>Estrada Nacional 350</t>
  </si>
  <si>
    <t>Colmeias e Memória</t>
  </si>
  <si>
    <t>DSCF7708.JPG</t>
  </si>
  <si>
    <t>(50) 60</t>
  </si>
  <si>
    <t>39.78414717744607, -8.643539224647085</t>
  </si>
  <si>
    <t>DSCF7704.JPG</t>
  </si>
  <si>
    <t>(50) 61</t>
  </si>
  <si>
    <t>39.78407400580418, -8.64354190685606</t>
  </si>
  <si>
    <t>Memória</t>
  </si>
  <si>
    <t>DSCF7700.JPG</t>
  </si>
  <si>
    <t>(50) 62</t>
  </si>
  <si>
    <t>39.78370468702107, -8.645705259411608</t>
  </si>
  <si>
    <t>DSCF7699.JPG</t>
  </si>
  <si>
    <t>LRA51</t>
  </si>
  <si>
    <t>(51) 145</t>
  </si>
  <si>
    <t>39.827314243738655, -8.724382993564761</t>
  </si>
  <si>
    <t>Rua da Bidoeira</t>
  </si>
  <si>
    <t>DSCF7791.JPG</t>
  </si>
  <si>
    <t>(51) 146</t>
  </si>
  <si>
    <t>39.82586259363892, -8.7227343733185</t>
  </si>
  <si>
    <t>DSCF7732.JPG</t>
  </si>
  <si>
    <t>(51) 147</t>
  </si>
  <si>
    <t>39.82524862720391, -8.724710776834003</t>
  </si>
  <si>
    <t>DSCF7709.JPG</t>
  </si>
  <si>
    <t>(51) 148</t>
  </si>
  <si>
    <t>39.82781986078402, -8.722774134159836</t>
  </si>
  <si>
    <t>DSCF7731.JPG</t>
  </si>
  <si>
    <t>(51) 149</t>
  </si>
  <si>
    <t>39.82673144354705, -8.723551195503136</t>
  </si>
  <si>
    <t>DSCF7723.JPG</t>
  </si>
  <si>
    <t>(51) 150</t>
  </si>
  <si>
    <t>39.826696425311184, -8.723454635980133</t>
  </si>
  <si>
    <t>DSCF7725.JPG</t>
  </si>
  <si>
    <t>(51) 151</t>
  </si>
  <si>
    <t>39.82684350606513, -8.723706543464951</t>
  </si>
  <si>
    <t>DSCF7727.JPG</t>
  </si>
  <si>
    <t>(51) 152</t>
  </si>
  <si>
    <t>39.82664910996113, -8.723685586626912</t>
  </si>
  <si>
    <t>DSCF7729.JPG</t>
  </si>
  <si>
    <t>(51) 153</t>
  </si>
  <si>
    <t>39.826541565143124, -8.723800447111175</t>
  </si>
  <si>
    <t>DSCF7730.JPG</t>
  </si>
  <si>
    <t>(51) 154</t>
  </si>
  <si>
    <t>39.826379886448045, -8.72373237280704</t>
  </si>
  <si>
    <t>DSCF7713.JPG</t>
  </si>
  <si>
    <t>(51) 155</t>
  </si>
  <si>
    <t>39.82623981007603, -8.723594218134021</t>
  </si>
  <si>
    <t>DSCF7714.JPG</t>
  </si>
  <si>
    <t>(51) 156</t>
  </si>
  <si>
    <t>39.82633744665602, -8.723631677140808</t>
  </si>
  <si>
    <t>DSCF7710.JPG</t>
  </si>
  <si>
    <t>(51) 157</t>
  </si>
  <si>
    <t>39.826426087464824, -8.723500145266899</t>
  </si>
  <si>
    <t>DSCF7716.JPG</t>
  </si>
  <si>
    <t>(51) 158</t>
  </si>
  <si>
    <t>39.826502052616476, -8.723386139833476</t>
  </si>
  <si>
    <t>DSCF7717.JPG</t>
  </si>
  <si>
    <t>LRA52</t>
  </si>
  <si>
    <t>(52) 141</t>
  </si>
  <si>
    <t>39.82487455877509, -8.721850801502516</t>
  </si>
  <si>
    <t>DSCF7753.JPG</t>
  </si>
  <si>
    <t>(52) 142</t>
  </si>
  <si>
    <t>39.82513693714633, -8.721597645801321</t>
  </si>
  <si>
    <t>DSCF7742.JPG</t>
  </si>
  <si>
    <t>(52) 143</t>
  </si>
  <si>
    <t>39.82492339004449, -8.721524136423474</t>
  </si>
  <si>
    <t>DSCF7747.JPG</t>
  </si>
  <si>
    <t>(52) 144</t>
  </si>
  <si>
    <t>39.82510002917808, -8.721839841642808</t>
  </si>
  <si>
    <t>DSCF7735.JPG</t>
  </si>
  <si>
    <t>(52) 477</t>
  </si>
  <si>
    <t>39.82510491460956, -8.721723749486385</t>
  </si>
  <si>
    <t>DSCF7740.JPG</t>
  </si>
  <si>
    <t>(52) 478</t>
  </si>
  <si>
    <t>39.82504387477758, -8.721532275366567</t>
  </si>
  <si>
    <t>DSCF7746.JPG</t>
  </si>
  <si>
    <t>(52) 479</t>
  </si>
  <si>
    <t>39.82486104430304, -8.721618696377652</t>
  </si>
  <si>
    <t>DSCF7752.JPG</t>
  </si>
  <si>
    <t>(52) 480</t>
  </si>
  <si>
    <t>39.824985281072294, -8.72187561193551</t>
  </si>
  <si>
    <t>DSCF7757.JPG</t>
  </si>
  <si>
    <t>(52) 481</t>
  </si>
  <si>
    <t>39.82503876457335, -8.721827056368195</t>
  </si>
  <si>
    <t>DSCF7741.JPG</t>
  </si>
  <si>
    <t>LRA53</t>
  </si>
  <si>
    <t>(53) 163</t>
  </si>
  <si>
    <t>39.84091461666824, -8.753422493618698</t>
  </si>
  <si>
    <t>Bidoeira de Cima</t>
  </si>
  <si>
    <t>DSCF7761.JPG</t>
  </si>
  <si>
    <t>(53) 164</t>
  </si>
  <si>
    <t>39.83939070469247, -8.754489588761151</t>
  </si>
  <si>
    <t>DSCF7763.JPG</t>
  </si>
  <si>
    <t>(53) 165</t>
  </si>
  <si>
    <t>39.83946124308254, -8.754544574045086</t>
  </si>
  <si>
    <t>DSCF7765.JPG</t>
  </si>
  <si>
    <t>(53) 166</t>
  </si>
  <si>
    <t>39.83837138717397, -8.755244584406444</t>
  </si>
  <si>
    <t>DSCF7774.JPG</t>
  </si>
  <si>
    <t>LRA54</t>
  </si>
  <si>
    <t>(54) 159</t>
  </si>
  <si>
    <t>39.84260104018032, -8.735124937031156</t>
  </si>
  <si>
    <t>Rua da Vista Alegre</t>
  </si>
  <si>
    <t>DSCF7789.JPG</t>
  </si>
  <si>
    <t>(54) 160</t>
  </si>
  <si>
    <t>39.840921785048444, -8.734023216422694</t>
  </si>
  <si>
    <t>DSCF7780.JPG</t>
  </si>
  <si>
    <t>(54) 161</t>
  </si>
  <si>
    <t>39.84094649868613, -8.734152633005609</t>
  </si>
  <si>
    <t>DSCF7783.JPG</t>
  </si>
  <si>
    <t>(54) 162</t>
  </si>
  <si>
    <t>39.838894837112136, -8.732679257663827</t>
  </si>
  <si>
    <t>DSCF7776.JPG</t>
  </si>
  <si>
    <t>LRA55</t>
  </si>
  <si>
    <t>(55) 491</t>
  </si>
  <si>
    <t>39.895772372873054, -8.78310166286802</t>
  </si>
  <si>
    <t>Rua dos Voluntários de 25 de Novembro</t>
  </si>
  <si>
    <t>Bajouca</t>
  </si>
  <si>
    <t>DSCF8030.JPG</t>
  </si>
  <si>
    <t>(55) 492</t>
  </si>
  <si>
    <t>39.89669975315829, -8.78494577539876</t>
  </si>
  <si>
    <t>DSCF8031.JPG</t>
  </si>
  <si>
    <t>(55) 493</t>
  </si>
  <si>
    <t>39.89698147492255, -8.785175678186368</t>
  </si>
  <si>
    <t>DSCF8032.JPG</t>
  </si>
  <si>
    <t>(55) 494</t>
  </si>
  <si>
    <t>39.89696398372331, -8.785283637097505</t>
  </si>
  <si>
    <t>DSCF8034.JPG</t>
  </si>
  <si>
    <t>(55) 495</t>
  </si>
  <si>
    <t>39.898074900051, -8.786580163539702</t>
  </si>
  <si>
    <t>DSCF8041.JPG</t>
  </si>
  <si>
    <t>LRA56</t>
  </si>
  <si>
    <t>(56) 566</t>
  </si>
  <si>
    <t>39.74493400622177, -8.796555024640929</t>
  </si>
  <si>
    <t>(56) 567</t>
  </si>
  <si>
    <t>39.74631574664903, -8.795680857895773</t>
  </si>
  <si>
    <t>LRA57</t>
  </si>
  <si>
    <t>(57) 568</t>
  </si>
  <si>
    <t>39.6783620295522, -8.671774914220077</t>
  </si>
  <si>
    <t>(57) 569</t>
  </si>
  <si>
    <t>39.679368139457345, -8.6696791945248</t>
  </si>
  <si>
    <t>LRA58</t>
  </si>
  <si>
    <t>(58) 570</t>
  </si>
  <si>
    <t>39.67756593797177, -8.672929841899828</t>
  </si>
  <si>
    <t>(58) 571</t>
  </si>
  <si>
    <t>39.67586300655274, -8.675065613649421</t>
  </si>
  <si>
    <t>LRA59</t>
  </si>
  <si>
    <t>(59) 572</t>
  </si>
  <si>
    <t>39.78925239992492, -8.850579989364801</t>
  </si>
  <si>
    <t>Rua Padre Joaquim G. Margalhau</t>
  </si>
  <si>
    <t>Amor</t>
  </si>
  <si>
    <t>(59) 573</t>
  </si>
  <si>
    <t>39.788107557381565, -8.848753870498161</t>
  </si>
  <si>
    <t>LRA60</t>
  </si>
  <si>
    <t>(60) 574</t>
  </si>
  <si>
    <t>39.7868650414732, -8.845330614647429</t>
  </si>
  <si>
    <t>Barreiros</t>
  </si>
  <si>
    <t>(60) 575</t>
  </si>
  <si>
    <t>39.786830002925804, -8.845446620185482</t>
  </si>
  <si>
    <t>LRA61</t>
  </si>
  <si>
    <t>(61) 576</t>
  </si>
  <si>
    <t>(61) 577</t>
  </si>
  <si>
    <t>39.78608798879521, -8.843998664500523</t>
  </si>
  <si>
    <t>LRA62</t>
  </si>
  <si>
    <t>(62) 578</t>
  </si>
  <si>
    <t>Indicação de Velocidade</t>
  </si>
  <si>
    <t>39.73447682579689, -8.80930005885379</t>
  </si>
  <si>
    <t>Avenida da Comunidade Europeia</t>
  </si>
  <si>
    <t>LRA63</t>
  </si>
  <si>
    <t>(63) 579</t>
  </si>
  <si>
    <t>39.733908620388924, -8.804986440719318</t>
  </si>
  <si>
    <t>LRA64</t>
  </si>
  <si>
    <t>(64) 580</t>
  </si>
  <si>
    <t>39.6962904283118, -8.906061728240013</t>
  </si>
  <si>
    <t>(64) 581</t>
  </si>
  <si>
    <t>39.69428637910614, -8.904950744690602</t>
  </si>
  <si>
    <t>LRA65</t>
  </si>
  <si>
    <t>(65) 582</t>
  </si>
  <si>
    <t>39.69686091052497, -8.906570820005511</t>
  </si>
  <si>
    <t>(65) 583</t>
  </si>
  <si>
    <t>39.69872241470597, -8.907797727500343</t>
  </si>
  <si>
    <t>LRA66</t>
  </si>
  <si>
    <t>(66) 584</t>
  </si>
  <si>
    <t>39.75588807748907, -8.80448331806372</t>
  </si>
  <si>
    <t>Estrada dos Marinheiros</t>
  </si>
  <si>
    <t>IMG_1121.JPG</t>
  </si>
  <si>
    <t>(66) 585</t>
  </si>
  <si>
    <t>39.75594894917525, -8.804562034353841</t>
  </si>
  <si>
    <t>IMG_1120.JPG</t>
  </si>
  <si>
    <t>(66) 586</t>
  </si>
  <si>
    <t>39.75606095420237, -8.804356200061127</t>
  </si>
  <si>
    <t>Rua Alvaro Pires Miranda</t>
  </si>
  <si>
    <t>IMG_1096.JPG</t>
  </si>
  <si>
    <t>(66) 587</t>
  </si>
  <si>
    <t>39.75609167595785, -8.804388872896208</t>
  </si>
  <si>
    <t>IMG_1102.JPG</t>
  </si>
  <si>
    <t>(66) 588</t>
  </si>
  <si>
    <t>39.75617982691834, -8.804492137941642</t>
  </si>
  <si>
    <t>IMG_1105.JPG</t>
  </si>
  <si>
    <t>(66) 589</t>
  </si>
  <si>
    <t>39.75614631925627, -8.804567239794975</t>
  </si>
  <si>
    <t>Rua da Matinha</t>
  </si>
  <si>
    <t>IMG_1110.JPG</t>
  </si>
  <si>
    <t>(66) 590</t>
  </si>
  <si>
    <t>39.75605610623978, -8.804659105452277</t>
  </si>
  <si>
    <t>IMG_1112.JPG</t>
  </si>
  <si>
    <t>LRA67</t>
  </si>
  <si>
    <t>(67) 591</t>
  </si>
  <si>
    <t>39.8016456580943, -8.860932142658049</t>
  </si>
  <si>
    <t>(67) 592</t>
  </si>
  <si>
    <t>39.80134936822931, -8.860943693600813</t>
  </si>
  <si>
    <t>(67) 593</t>
  </si>
  <si>
    <t>39.8013230247405, -8.86083285104382</t>
  </si>
  <si>
    <t>(67) 594</t>
  </si>
  <si>
    <t>39.800652199153156, -8.860688853679553</t>
  </si>
  <si>
    <t>LRA68</t>
  </si>
  <si>
    <t>(68) 595</t>
  </si>
  <si>
    <t>39.80388123778386, -8.862330084468736</t>
  </si>
  <si>
    <t>(68) 596</t>
  </si>
  <si>
    <t>39.80398732999406, -8.863674611598126</t>
  </si>
  <si>
    <t>(68) 597</t>
  </si>
  <si>
    <t>39.803910058295706, -8.863733620192807</t>
  </si>
  <si>
    <t>(68) 598</t>
  </si>
  <si>
    <t>39.80369880852225, -8.864503829839466</t>
  </si>
  <si>
    <t>LRA69</t>
  </si>
  <si>
    <t>(69) 599</t>
  </si>
  <si>
    <t>39.86736985072794, -8.751660227552167</t>
  </si>
  <si>
    <t>(69) 600</t>
  </si>
  <si>
    <t>39.86734411726379, -8.751764163153531</t>
  </si>
  <si>
    <t>(69) 601</t>
  </si>
  <si>
    <t>39.86736996367099, -8.751839678282535</t>
  </si>
  <si>
    <t>(69) 602</t>
  </si>
  <si>
    <t>39.86751561489578, -8.751917462342034</t>
  </si>
  <si>
    <t>(69) 603</t>
  </si>
  <si>
    <t>39.867632444458565, -8.751929532286505</t>
  </si>
  <si>
    <t>(69) 604</t>
  </si>
  <si>
    <t>39.867642223136066, -8.751752506494892</t>
  </si>
  <si>
    <t>(69) 605</t>
  </si>
  <si>
    <t>39.867509953551576, -8.751719649433857</t>
  </si>
  <si>
    <t>LRA70</t>
  </si>
  <si>
    <t>(70) 608</t>
  </si>
  <si>
    <t>39.771660716382605, -8.767141542536788</t>
  </si>
  <si>
    <t>(70) 609</t>
  </si>
  <si>
    <t>39.77176053363968, -8.767213471756186</t>
  </si>
  <si>
    <t>(70) 610</t>
  </si>
  <si>
    <t>39.771831656833584, -8.767364346010881</t>
  </si>
  <si>
    <t>(70) 611</t>
  </si>
  <si>
    <t>39.77175022592431, -8.767299972995543</t>
  </si>
  <si>
    <t>LRA71</t>
  </si>
  <si>
    <t>(71) 612</t>
  </si>
  <si>
    <t>39.788717147965826, -8.748427212983154</t>
  </si>
  <si>
    <t>(71) 613</t>
  </si>
  <si>
    <t>39.788817137345966, -8.7484942878321</t>
  </si>
  <si>
    <t>(71) 614</t>
  </si>
  <si>
    <t>39.788898571720516, -8.748634353763281</t>
  </si>
  <si>
    <t>(71) 615</t>
  </si>
  <si>
    <t>39.78880176448564, -8.748581727474392</t>
  </si>
  <si>
    <t>LRA72</t>
  </si>
  <si>
    <t>(72) 616</t>
  </si>
  <si>
    <t>39.753131867750184, -8.798711375478545</t>
  </si>
  <si>
    <t>LRA73</t>
  </si>
  <si>
    <t>(73) 617</t>
  </si>
  <si>
    <t>39.72643176908482, -8.807089498625041</t>
  </si>
  <si>
    <t>(73) 618</t>
  </si>
  <si>
    <t>39.72595178600976, -8.806693992501945</t>
  </si>
  <si>
    <t>Poste</t>
  </si>
  <si>
    <t>Báculo</t>
  </si>
  <si>
    <t>Regulação de tráfego</t>
  </si>
  <si>
    <t>Eyssa Tesis</t>
  </si>
  <si>
    <t>Carlos Oliveira</t>
  </si>
  <si>
    <t>Foto4</t>
  </si>
  <si>
    <t>Coluna1</t>
  </si>
  <si>
    <t>39.78404780841384, -8.84308567715907</t>
  </si>
  <si>
    <t>39.76239044212189, -8.822347391060253</t>
  </si>
  <si>
    <t>39.68458514120074, -8.887648691212588</t>
  </si>
  <si>
    <t>39.74779872537337, -8.805237360871748</t>
  </si>
  <si>
    <t>39.747871686701934, -8.805312794759438</t>
  </si>
  <si>
    <t>39.74156835211485, -8.81049366124014</t>
  </si>
  <si>
    <t>(04) 623</t>
  </si>
  <si>
    <t>39.739795224470214, -8.804596623885663</t>
  </si>
  <si>
    <t>39.84066516618194, -8.733805775334856</t>
  </si>
  <si>
    <t>(54) 625</t>
  </si>
  <si>
    <t>Foto</t>
  </si>
  <si>
    <t>01 (621)</t>
  </si>
  <si>
    <t>01 (622)</t>
  </si>
  <si>
    <t>12 (619)</t>
  </si>
  <si>
    <t>27 (620)</t>
  </si>
  <si>
    <t>52 (624)</t>
  </si>
  <si>
    <t>39.8248933704547, -8.72179984588937</t>
  </si>
  <si>
    <t>05/02/2026  11:58            93,258 100.jpg</t>
  </si>
  <si>
    <t>05/02/2026  11:58            66,867 101.jpg</t>
  </si>
  <si>
    <t>05/02/2026  11:56           109,162 102.jpg</t>
  </si>
  <si>
    <t>06/02/2026  00:31           346,698 103.jpg</t>
  </si>
  <si>
    <t>06/02/2026  00:28           337,329 104.jpg</t>
  </si>
  <si>
    <t>06/02/2026  00:28           309,058 105.jpg</t>
  </si>
  <si>
    <t>06/02/2026  00:29           337,370 106.jpg</t>
  </si>
  <si>
    <t>06/02/2026  00:22           281,824 107.jpg</t>
  </si>
  <si>
    <t>05/02/2026  14:24           103,638 108.jpg</t>
  </si>
  <si>
    <t>05/02/2026  14:24            79,908 109.jpg</t>
  </si>
  <si>
    <t>05/02/2026  14:26           129,224 110.jpg</t>
  </si>
  <si>
    <t>05/02/2026  14:25           141,605 111.jpg</t>
  </si>
  <si>
    <t>05/02/2026  14:13            57,197 112.jpg</t>
  </si>
  <si>
    <t>05/02/2026  17:13           217,587 141.jpg</t>
  </si>
  <si>
    <t>05/02/2026  17:15           246,116 142.jpg</t>
  </si>
  <si>
    <t>05/02/2026  17:12           277,437 143.jpg</t>
  </si>
  <si>
    <t>05/02/2026  17:14           210,813 144.jpg</t>
  </si>
  <si>
    <t>05/02/2026  16:00            78,955 145.jpg</t>
  </si>
  <si>
    <t>05/02/2026  15:58           129,542 146.jpg</t>
  </si>
  <si>
    <t>05/02/2026  15:58            82,348 147.jpg</t>
  </si>
  <si>
    <t>05/02/2026  15:59           105,797 148.jpg</t>
  </si>
  <si>
    <t>05/02/2026  16:06           106,653 149.jpg</t>
  </si>
  <si>
    <t>05/02/2026  16:07            74,878 150.jpg</t>
  </si>
  <si>
    <t>05/02/2026  16:08           171,440 151.jpg</t>
  </si>
  <si>
    <t>05/02/2026  17:09           192,743 152.jpg</t>
  </si>
  <si>
    <t>05/02/2026  17:10           283,280 153.jpg</t>
  </si>
  <si>
    <t>05/02/2026  16:02            94,718 154.jpg</t>
  </si>
  <si>
    <t>06/02/2026  00:43           393,652 155.jpg</t>
  </si>
  <si>
    <t>05/02/2026  16:02           145,331 156.jpg</t>
  </si>
  <si>
    <t>05/02/2026  16:04            99,384 157.jpg</t>
  </si>
  <si>
    <t>06/02/2026  00:45           158,749 158.jpg</t>
  </si>
  <si>
    <t>05/02/2026  15:56            61,520 159.jpg</t>
  </si>
  <si>
    <t>05/02/2026  15:55           134,822 160.jpg</t>
  </si>
  <si>
    <t>08/02/2026  18:51           153,787 161.jpg</t>
  </si>
  <si>
    <t>05/02/2026  15:53           158,551 162.jpg</t>
  </si>
  <si>
    <t>05/02/2026  15:51           169,910 163.jpg</t>
  </si>
  <si>
    <t>05/02/2026  15:50           115,741 164.jpg</t>
  </si>
  <si>
    <t>05/02/2026  15:51           107,535 165.jpg</t>
  </si>
  <si>
    <t>05/02/2026  15:50           169,910 166.jpg</t>
  </si>
  <si>
    <t>05/02/2026  15:47            71,108 167.jpg</t>
  </si>
  <si>
    <t>05/02/2026  15:47           108,198 168.jpg</t>
  </si>
  <si>
    <t>05/02/2026  15:45           104,070 169.jpg</t>
  </si>
  <si>
    <t>05/02/2026  15:45           259,814 170.jpg</t>
  </si>
  <si>
    <t>04/02/2026  15:33           127,211 171.jpg</t>
  </si>
  <si>
    <t>04/02/2026  15:34           178,550 172.jpg</t>
  </si>
  <si>
    <t>04/02/2026  15:34           156,137 173.jpg</t>
  </si>
  <si>
    <t>04/02/2026  15:35            72,619 174.jpg</t>
  </si>
  <si>
    <t>04/02/2026  15:03           319,349 175.jpg</t>
  </si>
  <si>
    <t>04/02/2026  15:04           181,169 176.jpg</t>
  </si>
  <si>
    <t>04/02/2026  15:02           202,909 177.jpg</t>
  </si>
  <si>
    <t>04/02/2026  15:21           133,826 178.jpg</t>
  </si>
  <si>
    <t>04/02/2026  15:23            67,094 179.jpg</t>
  </si>
  <si>
    <t>04/02/2026  15:23           152,511 180.jpg</t>
  </si>
  <si>
    <t>04/02/2026  15:25           102,277 181.jpg</t>
  </si>
  <si>
    <t>04/02/2026  14:50           220,575 182.jpg</t>
  </si>
  <si>
    <t>04/02/2026  14:52            74,986 183.jpg</t>
  </si>
  <si>
    <t>04/02/2026  14:53           123,086 184.jpg</t>
  </si>
  <si>
    <t>04/02/2026  14:53            94,167 185.jpg</t>
  </si>
  <si>
    <t>05/02/2026  15:37           137,949 186.jpg</t>
  </si>
  <si>
    <t>05/02/2026  15:38           124,524 187.jpg</t>
  </si>
  <si>
    <t>05/02/2026  15:36           166,311 188.jpg</t>
  </si>
  <si>
    <t>05/02/2026  15:36           107,165 189.jpg</t>
  </si>
  <si>
    <t>04/02/2026  12:25            59,625 190.jpg</t>
  </si>
  <si>
    <t>05/02/2026  15:22            40,368 191.jpg</t>
  </si>
  <si>
    <t>04/02/2026  13:57            31,438 192.jpg</t>
  </si>
  <si>
    <t>05/02/2026  15:25           101,364 193.jpg</t>
  </si>
  <si>
    <t>05/02/2026  15:25            92,979 194.jpg</t>
  </si>
  <si>
    <t>05/02/2026  15:24           103,437 195.jpg</t>
  </si>
  <si>
    <t>04/02/2026  14:22           114,615 196.jpg</t>
  </si>
  <si>
    <t>05/02/2026  15:27           106,932 197.jpg</t>
  </si>
  <si>
    <t>04/02/2026  12:37            72,514 198.jpg</t>
  </si>
  <si>
    <t>04/02/2026  12:38            91,327 199.jpg</t>
  </si>
  <si>
    <t>04/02/2026  12:00            76,438 200.jpg</t>
  </si>
  <si>
    <t>04/02/2026  12:16            39,870 201.jpg</t>
  </si>
  <si>
    <t>04/02/2026  11:50            44,532 202.jpg</t>
  </si>
  <si>
    <t>04/02/2026  11:49            51,515 203.jpg</t>
  </si>
  <si>
    <t>04/02/2026  11:45            65,306 204.jpg</t>
  </si>
  <si>
    <t>04/02/2026  11:43            63,649 205.jpg</t>
  </si>
  <si>
    <t>04/02/2026  11:01            66,042 206.jpg</t>
  </si>
  <si>
    <t>04/02/2026  11:02            75,344 207.jpg</t>
  </si>
  <si>
    <t>04/02/2026  10:51            48,937 208.jpg</t>
  </si>
  <si>
    <t>05/02/2026  15:03            21,419 209.jpg</t>
  </si>
  <si>
    <t>05/02/2026  15:00            45,748 210.jpg</t>
  </si>
  <si>
    <t>05/02/2026  15:00            61,180 211.jpg</t>
  </si>
  <si>
    <t>04/02/2026  10:28            44,122 212.jpg</t>
  </si>
  <si>
    <t>04/02/2026  10:38            23,665 213.jpg</t>
  </si>
  <si>
    <t>05/02/2026  00:04           195,164 217.jpg</t>
  </si>
  <si>
    <t>05/02/2026  00:05           284,826 218.jpg</t>
  </si>
  <si>
    <t>05/02/2026  00:05           255,663 219.jpg</t>
  </si>
  <si>
    <t>05/02/2026  00:03            65,762 220.jpg</t>
  </si>
  <si>
    <t>04/02/2026  23:41           245,802 221.jpg</t>
  </si>
  <si>
    <t>04/02/2026  23:44           286,001 222.jpg</t>
  </si>
  <si>
    <t>04/02/2026  23:45           217,704 223.jpg</t>
  </si>
  <si>
    <t>04/02/2026  23:42           108,991 224.jpg</t>
  </si>
  <si>
    <t>04/02/2026  23:43           198,533 225.jpg</t>
  </si>
  <si>
    <t>04/02/2026  23:40           323,944 226.jpg</t>
  </si>
  <si>
    <t>04/02/2026  23:46           234,691 227.jpg</t>
  </si>
  <si>
    <t>04/02/2026  23:48           201,565 228.jpg</t>
  </si>
  <si>
    <t>04/02/2026  23:48           241,980 229.jpg</t>
  </si>
  <si>
    <t>04/02/2026  23:47           137,062 230.jpg</t>
  </si>
  <si>
    <t>04/02/2026  23:50           229,530 231.jpg</t>
  </si>
  <si>
    <t>04/02/2026  23:52           316,766 232.jpg</t>
  </si>
  <si>
    <t>04/02/2026  23:52           304,614 233.jpg</t>
  </si>
  <si>
    <t>05/02/2026  09:41            84,876 235.jpg</t>
  </si>
  <si>
    <t>05/02/2026  09:44            73,085 236.jpg</t>
  </si>
  <si>
    <t>05/02/2026  09:44           118,999 237.jpg</t>
  </si>
  <si>
    <t>05/02/2026  09:43            53,887 238.jpg</t>
  </si>
  <si>
    <t>05/02/2026  09:52           108,077 239.jpg</t>
  </si>
  <si>
    <t>05/02/2026  09:52           151,941 240.jpg</t>
  </si>
  <si>
    <t>05/02/2026  09:54            76,637 241.jpg</t>
  </si>
  <si>
    <t>05/02/2026  09:54           100,090 242.jpg</t>
  </si>
  <si>
    <t>05/02/2026  10:01           134,093 243.jpg</t>
  </si>
  <si>
    <t>05/02/2026  10:03           201,961 244.jpg</t>
  </si>
  <si>
    <t>05/02/2026  10:03           157,979 245.jpg</t>
  </si>
  <si>
    <t>05/02/2026  10:02           162,800 246.jpg</t>
  </si>
  <si>
    <t>05/02/2026  10:00           150,110 247.jpg</t>
  </si>
  <si>
    <t>05/02/2026  10:08           109,887 248.jpg</t>
  </si>
  <si>
    <t>05/02/2026  10:37           129,053 249.jpg</t>
  </si>
  <si>
    <t>05/02/2026  10:36           108,061 250.jpg</t>
  </si>
  <si>
    <t>05/02/2026  10:35            89,316 251.jpg</t>
  </si>
  <si>
    <t>05/02/2026  10:09            80,963 252.jpg</t>
  </si>
  <si>
    <t>05/02/2026  11:50            78,893 253.jpg</t>
  </si>
  <si>
    <t>05/02/2026  11:51            81,049 254.jpg</t>
  </si>
  <si>
    <t>05/02/2026  11:51           122,655 255.jpg</t>
  </si>
  <si>
    <t>05/02/2026  11:49            69,972 256.jpg</t>
  </si>
  <si>
    <t>05/02/2026  13:57            54,193 257.jpg</t>
  </si>
  <si>
    <t>05/02/2026  14:00            90,873 258.jpg</t>
  </si>
  <si>
    <t>05/02/2026  14:00           130,928 259.jpg</t>
  </si>
  <si>
    <t>05/02/2026  14:03            41,986 260.jpg</t>
  </si>
  <si>
    <t>05/02/2026  13:55           123,182 261.jpg</t>
  </si>
  <si>
    <t>05/02/2026  13:55           245,008 262.jpg</t>
  </si>
  <si>
    <t>05/02/2026  13:56           167,343 263.jpg</t>
  </si>
  <si>
    <t>05/02/2026  13:56           185,948 264.jpg</t>
  </si>
  <si>
    <t>05/02/2026  12:33           121,133 265.jpg</t>
  </si>
  <si>
    <t>05/02/2026  12:30           139,018 266.jpg</t>
  </si>
  <si>
    <t>05/02/2026  12:29            66,296 267.jpg</t>
  </si>
  <si>
    <t>05/02/2026  12:18           146,902 268.jpg</t>
  </si>
  <si>
    <t>05/02/2026  12:17           122,751 269.jpg</t>
  </si>
  <si>
    <t>05/02/2026  12:18           156,921 270.jpg</t>
  </si>
  <si>
    <t>05/02/2026  11:44            38,923 271.jpg</t>
  </si>
  <si>
    <t>05/02/2026  11:47            25,824 272.jpg</t>
  </si>
  <si>
    <t>05/02/2026  11:48            81,472 273.jpg</t>
  </si>
  <si>
    <t>05/02/2026  11:48            79,230 274.jpg</t>
  </si>
  <si>
    <t>05/02/2026  11:48           104,427 275.jpg</t>
  </si>
  <si>
    <t>05/02/2026  11:43            40,245 276.jpg</t>
  </si>
  <si>
    <t>05/02/2026  11:39            71,593 277.jpg</t>
  </si>
  <si>
    <t>05/02/2026  11:38            77,061 278.jpg</t>
  </si>
  <si>
    <t>05/02/2026  11:38           101,822 279.jpg</t>
  </si>
  <si>
    <t>05/02/2026  11:37            97,720 280.jpg</t>
  </si>
  <si>
    <t>05/02/2026  10:40           144,648 281.jpg</t>
  </si>
  <si>
    <t>05/02/2026  10:41           108,590 282.jpg</t>
  </si>
  <si>
    <t>05/02/2026  10:40           282,258 283.jpg</t>
  </si>
  <si>
    <t>05/02/2026  10:42            86,542 284.jpg</t>
  </si>
  <si>
    <t>05/02/2026  10:44            78,472 285.jpg</t>
  </si>
  <si>
    <t>05/02/2026  10:45           145,752 286.jpg</t>
  </si>
  <si>
    <t>05/02/2026  10:46            68,199 287.jpg</t>
  </si>
  <si>
    <t>05/02/2026  10:45           189,710 288.jpg</t>
  </si>
  <si>
    <t>05/02/2026  10:53           132,004 289.jpg</t>
  </si>
  <si>
    <t>05/02/2026  10:54           141,048 290.jpg</t>
  </si>
  <si>
    <t>05/02/2026  10:55           106,586 291.jpg</t>
  </si>
  <si>
    <t>05/02/2026  10:55           141,912 292.jpg</t>
  </si>
  <si>
    <t>05/02/2026  10:56           110,285 293.jpg</t>
  </si>
  <si>
    <t>05/02/2026  10:57           195,104 294.jpg</t>
  </si>
  <si>
    <t>05/02/2026  11:00           171,339 295.jpg</t>
  </si>
  <si>
    <t>05/02/2026  11:00           105,886 296.jpg</t>
  </si>
  <si>
    <t>05/02/2026  11:06            75,537 297.jpg</t>
  </si>
  <si>
    <t>05/02/2026  11:05           162,214 298.jpg</t>
  </si>
  <si>
    <t>05/02/2026  11:23           112,421 299.jpg</t>
  </si>
  <si>
    <t>05/02/2026  11:12           134,472 300.jpg</t>
  </si>
  <si>
    <t>05/02/2026  11:20            70,363 301.jpg</t>
  </si>
  <si>
    <t>05/02/2026  11:19            68,973 302.jpg</t>
  </si>
  <si>
    <t>05/02/2026  12:04           106,151 303.jpg</t>
  </si>
  <si>
    <t>05/02/2026  12:00            61,965 304.jpg</t>
  </si>
  <si>
    <t>05/02/2026  12:05            79,523 305.jpg</t>
  </si>
  <si>
    <t>05/02/2026  12:06            89,902 306.jpg</t>
  </si>
  <si>
    <t>05/02/2026  12:08            41,219 307.jpg</t>
  </si>
  <si>
    <t>05/02/2026  12:16            57,599 308.jpg</t>
  </si>
  <si>
    <t>05/02/2026  12:11            95,615 309.jpg</t>
  </si>
  <si>
    <t>05/02/2026  12:10           105,283 310.jpg</t>
  </si>
  <si>
    <t>05/02/2026  12:10           119,379 311.jpg</t>
  </si>
  <si>
    <t>05/02/2026  12:09            70,576 312.jpg</t>
  </si>
  <si>
    <t>05/02/2026  12:07            55,099 428.jpg</t>
  </si>
  <si>
    <t>05/02/2026  12:08            34,597 429.jpg</t>
  </si>
  <si>
    <t>05/02/2026  12:16            83,993 430.jpg</t>
  </si>
  <si>
    <t>05/02/2026  12:09           165,242 431.jpg</t>
  </si>
  <si>
    <t>05/02/2026  12:03            47,008 432.jpg</t>
  </si>
  <si>
    <t>05/02/2026  12:02            19,660 433.jpg</t>
  </si>
  <si>
    <t>05/02/2026  12:04            49,464 434.jpg</t>
  </si>
  <si>
    <t>08/02/2026  16:36           180,239 435.jpg</t>
  </si>
  <si>
    <t>05/02/2026  11:27            46,056 436.jpg</t>
  </si>
  <si>
    <t>05/02/2026  11:27            39,165 437.jpg</t>
  </si>
  <si>
    <t>05/02/2026  11:21           113,929 438.jpg</t>
  </si>
  <si>
    <t>05/02/2026  11:18            96,678 439.jpg</t>
  </si>
  <si>
    <t>05/02/2026  11:19            65,098 440.jpg</t>
  </si>
  <si>
    <t>05/02/2026  11:06           130,390 441.jpg</t>
  </si>
  <si>
    <t>05/02/2026  11:01            52,253 442.jpg</t>
  </si>
  <si>
    <t>05/02/2026  10:54           132,557 443.jpg</t>
  </si>
  <si>
    <t>05/02/2026  10:53            64,641 444.jpg</t>
  </si>
  <si>
    <t>05/02/2026  10:51           144,312 445.jpg</t>
  </si>
  <si>
    <t>05/02/2026  10:51           120,046 446.jpg</t>
  </si>
  <si>
    <t>05/02/2026  10:46            39,521 447.jpg</t>
  </si>
  <si>
    <t>05/02/2026  11:47            77,007 448.jpg</t>
  </si>
  <si>
    <t>05/02/2026  12:31           108,211 449.jpg</t>
  </si>
  <si>
    <t>05/02/2026  12:31            85,524 450.jpg</t>
  </si>
  <si>
    <t>05/02/2026  12:31            70,855 451.jpg</t>
  </si>
  <si>
    <t>05/02/2026  12:34            61,095 452.jpg</t>
  </si>
  <si>
    <t>05/02/2026  13:57            71,951 453.jpg</t>
  </si>
  <si>
    <t>04/02/2026  14:14           194,591 454.jpg</t>
  </si>
  <si>
    <t>04/02/2026  14:12            90,741 455.jpg</t>
  </si>
  <si>
    <t>05/02/2026  15:26           106,185 456.jpg</t>
  </si>
  <si>
    <t>05/02/2026  15:23            77,106 457.jpg</t>
  </si>
  <si>
    <t>05/02/2026  10:36           331,270 458.jpg</t>
  </si>
  <si>
    <t>05/02/2026  10:37            54,818 459.jpg</t>
  </si>
  <si>
    <t>05/02/2026  10:06            47,750 460.jpg</t>
  </si>
  <si>
    <t>05/02/2026  11:52            54,366 461.jpg</t>
  </si>
  <si>
    <t>04/02/2026  22:06           351,390 462.jpg</t>
  </si>
  <si>
    <t>04/02/2026  21:40           171,966 463.jpg</t>
  </si>
  <si>
    <t>04/02/2026  21:34           185,567 464.jpg</t>
  </si>
  <si>
    <t>04/02/2026  21:35           165,151 465.jpg</t>
  </si>
  <si>
    <t>04/02/2026  21:35           275,192 466.jpg</t>
  </si>
  <si>
    <t>04/02/2026  21:36           183,334 467.jpg</t>
  </si>
  <si>
    <t>04/02/2026  21:19           361,962 468.jpg</t>
  </si>
  <si>
    <t>06/02/2026  14:40           306,748 469.jpg</t>
  </si>
  <si>
    <t>04/02/2026  21:15            99,908 470.jpg</t>
  </si>
  <si>
    <t>04/02/2026  20:27           404,524 471.jpg</t>
  </si>
  <si>
    <t>04/02/2026  20:26            41,963 472.jpg</t>
  </si>
  <si>
    <t>06/02/2026  14:41            87,614 473.jpg</t>
  </si>
  <si>
    <t>04/02/2026  23:44           249,750 474.jpg</t>
  </si>
  <si>
    <t>05/02/2026  14:25            93,205 475.jpg</t>
  </si>
  <si>
    <t>06/02/2026  00:32           246,714 476.jpg</t>
  </si>
  <si>
    <t>05/02/2026  17:14            61,295 477.jpg</t>
  </si>
  <si>
    <t>05/02/2026  17:16           107,317 478.jpg</t>
  </si>
  <si>
    <t>05/02/2026  17:12           235,807 479.jpg</t>
  </si>
  <si>
    <t>05/02/2026  17:13           156,327 480.jpg</t>
  </si>
  <si>
    <t>05/02/2026  17:15           193,267 481.jpg</t>
  </si>
  <si>
    <t>05/02/2026  23:39           191,248 482.jpg</t>
  </si>
  <si>
    <t>05/02/2026  23:40           274,255 483.jpg</t>
  </si>
  <si>
    <t>04/02/2026  20:24            67,910 484.jpg</t>
  </si>
  <si>
    <t>04/02/2026  20:15           263,634 485.jpg</t>
  </si>
  <si>
    <t>05/02/2026  15:43           140,545 491.jpg</t>
  </si>
  <si>
    <t>05/02/2026  15:43            87,178 492.jpg</t>
  </si>
  <si>
    <t>05/02/2026  15:41           161,619 493.jpg</t>
  </si>
  <si>
    <t>05/02/2026  15:41            97,227 494.jpg</t>
  </si>
  <si>
    <t>05/02/2026  15:40            90,520 495.jpg</t>
  </si>
  <si>
    <t>05/02/2026  11:14           202,838 551.jpg</t>
  </si>
  <si>
    <t>05/02/2026  11:35            50,510 566.jpg</t>
  </si>
  <si>
    <t>05/02/2026  11:36            84,328 567.jpg</t>
  </si>
  <si>
    <t>04/02/2026  21:26           265,208 568.jpg</t>
  </si>
  <si>
    <t>04/02/2026  21:25           212,048 569.jpg</t>
  </si>
  <si>
    <t>04/02/2026  21:24           264,111 570.jpg</t>
  </si>
  <si>
    <t>04/02/2026  21:23           374,911 571.jpg</t>
  </si>
  <si>
    <t>04/02/2026  16:16            84,394 572.jpg</t>
  </si>
  <si>
    <t>04/02/2026  16:17           103,326 573.jpg</t>
  </si>
  <si>
    <t>04/02/2026  16:20           152,903 574.jpg</t>
  </si>
  <si>
    <t>04/02/2026  16:20            90,847 575.jpg</t>
  </si>
  <si>
    <t>04/02/2026  16:23            75,372 576.jpg</t>
  </si>
  <si>
    <t>04/02/2026  16:23           153,906 577.jpg</t>
  </si>
  <si>
    <t>05/02/2026  10:49            61,839 578.jpg</t>
  </si>
  <si>
    <t>05/02/2026  10:48            96,858 579.jpg</t>
  </si>
  <si>
    <t>04/02/2026  23:58           179,839 580.jpg</t>
  </si>
  <si>
    <t>04/02/2026  23:58           183,619 581.jpg</t>
  </si>
  <si>
    <t>06/02/2026  01:13           145,634 582.jpg</t>
  </si>
  <si>
    <t>05/02/2026  00:00           182,059 583.jpg</t>
  </si>
  <si>
    <t>05/02/2026  12:20            71,073 584.jpg</t>
  </si>
  <si>
    <t>05/02/2026  12:21           190,859 585.jpg</t>
  </si>
  <si>
    <t>05/02/2026  12:21            71,766 586.jpg</t>
  </si>
  <si>
    <t>05/02/2026  12:27            41,040 587.jpg</t>
  </si>
  <si>
    <t>05/02/2026  12:25            76,153 588.jpg</t>
  </si>
  <si>
    <t>05/02/2026  12:19            91,998 589.jpg</t>
  </si>
  <si>
    <t>05/02/2026  17:18           272,992 59.jpg</t>
  </si>
  <si>
    <t>05/02/2026  12:19           152,631 590.jpg</t>
  </si>
  <si>
    <t>04/02/2026  15:48           152,164 591.jpg</t>
  </si>
  <si>
    <t>04/02/2026  15:48           135,657 592.jpg</t>
  </si>
  <si>
    <t>04/02/2026  15:49           154,572 593.jpg</t>
  </si>
  <si>
    <t>04/02/2026  15:52           100,114 594.jpg</t>
  </si>
  <si>
    <t>04/02/2026  16:06           141,331 595.jpg</t>
  </si>
  <si>
    <t>04/02/2026  16:08            76,980 596.jpg</t>
  </si>
  <si>
    <t>04/02/2026  16:08            63,663 597.jpg</t>
  </si>
  <si>
    <t>06/02/2026  01:25           197,160 598.jpg</t>
  </si>
  <si>
    <t>05/02/2026  17:29           340,717 599.jpg</t>
  </si>
  <si>
    <t>05/02/2026  17:19           419,764 60.jpg</t>
  </si>
  <si>
    <t>06/02/2026  14:41            76,630 600.jpg</t>
  </si>
  <si>
    <t>05/02/2026  17:30           227,103 601.jpg</t>
  </si>
  <si>
    <t>05/02/2026  17:30           230,627 602.jpg</t>
  </si>
  <si>
    <t>05/02/2026  17:31           168,668 603.jpg</t>
  </si>
  <si>
    <t>05/02/2026  17:31           246,947 604.jpg</t>
  </si>
  <si>
    <t>05/02/2026  17:32           281,567 605.jpg</t>
  </si>
  <si>
    <t>05/02/2026  12:13            49,823 606.jpg</t>
  </si>
  <si>
    <t>06/02/2026  01:41           208,802 607.jpg</t>
  </si>
  <si>
    <t>06/02/2026  01:44           155,368 608.jpg</t>
  </si>
  <si>
    <t>06/02/2026  14:40           236,643 609.jpg</t>
  </si>
  <si>
    <t>05/02/2026  17:19           235,129 61.jpg</t>
  </si>
  <si>
    <t>06/02/2026  01:44           248,467 610.jpg</t>
  </si>
  <si>
    <t>06/02/2026  01:45           216,497 611.jpg</t>
  </si>
  <si>
    <t>06/02/2026  01:46           266,669 612.jpg</t>
  </si>
  <si>
    <t>06/02/2026  01:47           378,515 613.jpg</t>
  </si>
  <si>
    <t>06/02/2026  01:47           203,059 614.jpg</t>
  </si>
  <si>
    <t>06/02/2026  01:47           143,678 615.jpg</t>
  </si>
  <si>
    <t>06/02/2026  09:57           118,755 616.jpg</t>
  </si>
  <si>
    <t>06/02/2026  10:01           108,206 617.jpg</t>
  </si>
  <si>
    <t>08/02/2026  19:03            24,766 618.jpg</t>
  </si>
  <si>
    <t>07/02/2026  23:26           231,745 619.jpg</t>
  </si>
  <si>
    <t>05/02/2026  17:18           220,819 62.jpg</t>
  </si>
  <si>
    <t>07/02/2026  23:54           241,983 620.jpg</t>
  </si>
  <si>
    <t>08/02/2026  15:46           166,928 621.jpg</t>
  </si>
  <si>
    <t>08/02/2026  15:47           404,681 622.jpg</t>
  </si>
  <si>
    <t>08/02/2026  16:54           105,971 623.jpg</t>
  </si>
  <si>
    <t>08/02/2026  18:29           226,833 624.jpg</t>
  </si>
  <si>
    <t>08/02/2026  18:46           178,260 625.jpg</t>
  </si>
  <si>
    <t>08/02/2026  22:06           150,122 626.jpg</t>
  </si>
  <si>
    <t>05/02/2026  09:50           159,508 63.jpg</t>
  </si>
  <si>
    <t>04/02/2026  20:25           157,073 65.jpg</t>
  </si>
  <si>
    <t>04/02/2026  20:25           236,614 66.jpg</t>
  </si>
  <si>
    <t>04/02/2026  20:29           229,170 67.jpg</t>
  </si>
  <si>
    <t>04/02/2026  20:26           306,180 68.jpg</t>
  </si>
  <si>
    <t>04/02/2026  20:31           254,080 69.jpg</t>
  </si>
  <si>
    <t>04/02/2026  21:13           215,332 72.jpg</t>
  </si>
  <si>
    <t>04/02/2026  21:20           185,139 73.jpg</t>
  </si>
  <si>
    <t>04/02/2026  21:16           140,847 74.jpg</t>
  </si>
  <si>
    <t>04/02/2026  21:20           212,304 75.jpg</t>
  </si>
  <si>
    <t>04/02/2026  21:21           176,940 76.jpg</t>
  </si>
  <si>
    <t>04/02/2026  21:27           143,068 77.jpg</t>
  </si>
  <si>
    <t>04/02/2026  21:31           324,472 78.jpg</t>
  </si>
  <si>
    <t>04/02/2026  21:32           251,215 79.jpg</t>
  </si>
  <si>
    <t>04/02/2026  21:39           302,700 80.jpg</t>
  </si>
  <si>
    <t>04/02/2026  21:38           435,816 81.jpg</t>
  </si>
  <si>
    <t>04/02/2026  21:37           115,454 82.jpg</t>
  </si>
  <si>
    <t>04/02/2026  21:40           347,016 83.jpg</t>
  </si>
  <si>
    <t>04/02/2026  21:47           163,830 84.jpg</t>
  </si>
  <si>
    <t>04/02/2026  21:48           181,352 85.jpg</t>
  </si>
  <si>
    <t>04/02/2026  22:02           231,901 86.jpg</t>
  </si>
  <si>
    <t>04/02/2026  21:52           186,583 87.jpg</t>
  </si>
  <si>
    <t>04/02/2026  21:56            96,451 88.jpg</t>
  </si>
  <si>
    <t>04/02/2026  22:03           149,697 89.jpg</t>
  </si>
  <si>
    <t>04/02/2026  22:06           206,974 90.jpg</t>
  </si>
  <si>
    <t>04/02/2026  22:07           118,826 91.jpg</t>
  </si>
  <si>
    <t>04/02/2026  22:07           190,820 92.jpg</t>
  </si>
  <si>
    <t>04/02/2026  22:09           353,905 93.jpg</t>
  </si>
  <si>
    <t>04/02/2026  22:09           197,821 94.jpg</t>
  </si>
  <si>
    <t>04/02/2026  22:08            46,199 95.jpg</t>
  </si>
  <si>
    <t>05/02/2026  11:54            77,193 96.jpg</t>
  </si>
  <si>
    <t>05/02/2026  11:54            74,639 97.jpg</t>
  </si>
  <si>
    <t>05/02/2026  11:53            74,535 98.jpg</t>
  </si>
  <si>
    <t>05/02/2026  11:56           105,516 99.jpg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</si>
</sst>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0" fillId="0" borderId="0" xfId="0" applyNumberFormat="1" applyAlignment="1">
      <alignment vertical="center"/>
    </xf>
    <xf numFmtId="0" fontId="2" fillId="0" borderId="0" xfId="1" applyAlignment="1">
      <alignment horizontal="center" vertical="center"/>
    </xf>
    <xf numFmtId="0" fontId="2" fillId="0" borderId="0" xfId="1" applyNumberForma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iperligação" xfId="1" builtinId="8"/>
    <cellStyle name="Normal" xfId="0" builtinId="0"/>
  </cellStyles>
  <dxfs count="34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18070E-989C-4A97-8468-6EF0E2D30226}" name="Tabela1" displayName="Tabela1" ref="A1:AF343" totalsRowShown="0" headerRowDxfId="33" dataDxfId="32">
  <autoFilter ref="A1:AF343" xr:uid="{AF18070E-989C-4A97-8468-6EF0E2D30226}"/>
  <tableColumns count="32">
    <tableColumn id="1" xr3:uid="{21C960BC-77E3-4B80-BD56-10869F1DDF79}" name="local" dataDxfId="31"/>
    <tableColumn id="2" xr3:uid="{116F2643-1AD6-4E66-A8BE-AB4E59BC0FD5}" name="id_0" dataDxfId="30"/>
    <tableColumn id="3" xr3:uid="{113C96EC-34A1-4489-8D5F-5FDD0B1E26CA}" name="Referência" dataDxfId="29"/>
    <tableColumn id="4" xr3:uid="{B9130FD6-8B8A-4D56-95C7-EBE21165130B}" name="Tipo" dataDxfId="28"/>
    <tableColumn id="29" xr3:uid="{C265D355-AD21-4299-B65B-1770ACE81AC6}" name="Instalador" dataDxfId="27"/>
    <tableColumn id="26" xr3:uid="{52737BDF-09D2-425E-B0CF-0A84ABE11330}" name="Foto1" dataDxfId="26"/>
    <tableColumn id="5" xr3:uid="{5BA8A47A-AA37-4B4E-A5D2-684EF3270F05}" name="Fixação" dataDxfId="25"/>
    <tableColumn id="6" xr3:uid="{0ED0F157-3506-4463-897D-8113F051402A}" name="cat" dataDxfId="24"/>
    <tableColumn id="7" xr3:uid="{E3A65480-BE09-4506-AB0F-83629D66EEAB}" name="GPS" dataDxfId="23"/>
    <tableColumn id="8" xr3:uid="{F6008380-F840-4677-BB40-54206092761B}" name="Morada" dataDxfId="22"/>
    <tableColumn id="9" xr3:uid="{33192550-3C04-422C-BD89-6EE8C959508D}" name="Freguesia" dataDxfId="21"/>
    <tableColumn id="10" xr3:uid="{69874354-5667-4663-AD30-29C55CFD6992}" name="300Vermelha" dataDxfId="20"/>
    <tableColumn id="11" xr3:uid="{8241EB75-767D-4563-A686-FC340ACDDF39}" name="300Amarela" dataDxfId="19"/>
    <tableColumn id="12" xr3:uid="{CC12D13B-128A-426E-8460-D750AC9E7C35}" name="300Verde" dataDxfId="18"/>
    <tableColumn id="13" xr3:uid="{7E956E7C-0766-4F44-9234-C51A92B57F14}" name="200Vermelha" dataDxfId="17"/>
    <tableColumn id="14" xr3:uid="{500D640B-9248-4B3D-BA7C-FF038B32807D}" name="200Amarela" dataDxfId="16"/>
    <tableColumn id="15" xr3:uid="{0546B403-2EE9-41C7-97C4-267860D24B6B}" name="200Verde" dataDxfId="15"/>
    <tableColumn id="16" xr3:uid="{0A1CB559-CC8A-489F-93F7-F4AA993E31AB}" name="100Vermelha" dataDxfId="14"/>
    <tableColumn id="17" xr3:uid="{4C337366-0634-49CF-98C7-6429D6FDCA3B}" name="100Amarela" dataDxfId="13"/>
    <tableColumn id="18" xr3:uid="{80B680BD-592D-4C31-AAA1-64C010378844}" name="100Verde" dataDxfId="12"/>
    <tableColumn id="19" xr3:uid="{51C31B9B-D2F3-431E-836A-4788ECD1EE3D}" name="PeãoVermelha" dataDxfId="11"/>
    <tableColumn id="20" xr3:uid="{11086110-D067-4708-B532-FA47DAC233FF}" name="PeãoVerde" dataDxfId="10"/>
    <tableColumn id="21" xr3:uid="{B9CA7BB9-DBF8-43F0-97C7-D07D38BC7483}" name="PassagemdePeões" dataDxfId="9"/>
    <tableColumn id="22" xr3:uid="{6A27B5AB-EC55-4097-A488-4009B26FC48D}" name="Botoneira" dataDxfId="8"/>
    <tableColumn id="23" xr3:uid="{A600AF2B-5651-4382-8EE3-2B94ED42C5ED}" name="ControlodeVelocidade" dataDxfId="7"/>
    <tableColumn id="24" xr3:uid="{7740FCC9-A060-4FF8-9067-09930D3943D0}" name="Descontador" dataDxfId="6"/>
    <tableColumn id="25" xr3:uid="{1866B5A9-505A-449E-A094-F8B291BF5C40}" name="Ligação" dataDxfId="5"/>
    <tableColumn id="32" xr3:uid="{2F9CAEB5-E85F-4C7D-95EC-991133B99C50}" name="Coluna1" dataDxfId="4">
      <calculatedColumnFormula>HYPERLINK(_xlfn.CONCAT("https://www.google.com/maps/search/",Tabela1[[#This Row],[GPS]]),"##")</calculatedColumnFormula>
    </tableColumn>
    <tableColumn id="30" xr3:uid="{A333D875-8F53-4039-93C3-73096D9E0A78}" name="Foto" dataDxfId="0">
      <calculatedColumnFormula>_xlfn.CONCAT("https://raw.githubusercontent.com/marcelo-pascoal/Semaforos/refs/heads/main/fotosD/",Tabela1[[#This Row],[Foto1]])</calculatedColumnFormula>
    </tableColumn>
    <tableColumn id="27" xr3:uid="{D0483E36-45A7-463B-8FAE-7989308FB8D4}" name="Foto2" dataDxfId="2">
      <calculatedColumnFormula>_xlfn.CONCAT("https://raw.githubusercontent.com/marcelo-pascoal/Semaforos/refs/heads/main/fotos/",Tabela1[[#This Row],[id_0]],".jpg")</calculatedColumnFormula>
    </tableColumn>
    <tableColumn id="28" xr3:uid="{9CD4247D-64A2-4743-9E3B-7328ECE284C4}" name="Foto3" dataDxfId="1">
      <calculatedColumnFormula>_xlfn.CONCAT("https://raw.githubusercontent.com/marcelo-pascoal/Semaforos/refs/heads/main/fotosD/",Tabela1[[#This Row],[id_0]],".jpg")</calculatedColumnFormula>
    </tableColumn>
    <tableColumn id="31" xr3:uid="{BF028AC6-368C-413F-9048-01E93665E56E}" name="Foto4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FDC7F-7F82-41E4-86C1-4269E52FAF90}">
  <sheetPr codeName="Folha1"/>
  <dimension ref="A1:AF343"/>
  <sheetViews>
    <sheetView tabSelected="1" zoomScale="145" zoomScaleNormal="145" workbookViewId="0">
      <pane xSplit="2" ySplit="1" topLeftCell="AA3" activePane="bottomRight" state="frozen"/>
      <selection pane="topRight" activeCell="C1" sqref="C1"/>
      <selection pane="bottomLeft" activeCell="A2" sqref="A2"/>
      <selection pane="bottomRight" activeCell="AC3" sqref="AC3"/>
    </sheetView>
  </sheetViews>
  <sheetFormatPr defaultRowHeight="14.5" outlineLevelCol="1" x14ac:dyDescent="0.35"/>
  <cols>
    <col min="1" max="1" width="7.1796875" style="2" customWidth="1"/>
    <col min="2" max="2" width="4.90625" style="2" customWidth="1"/>
    <col min="3" max="27" width="11" style="2" customWidth="1" outlineLevel="1"/>
    <col min="28" max="28" width="5.453125" style="2" customWidth="1"/>
    <col min="29" max="30" width="30.6328125" style="3" customWidth="1"/>
    <col min="31" max="31" width="33.1796875" style="3" customWidth="1"/>
    <col min="34" max="34" width="11.54296875" bestFit="1" customWidth="1"/>
  </cols>
  <sheetData>
    <row r="1" spans="1:32" x14ac:dyDescent="0.35">
      <c r="A1" s="1" t="s">
        <v>0</v>
      </c>
      <c r="B1" s="4" t="s">
        <v>1</v>
      </c>
      <c r="C1" s="1" t="s">
        <v>2</v>
      </c>
      <c r="D1" s="1" t="s">
        <v>3</v>
      </c>
      <c r="E1" s="1" t="s">
        <v>28</v>
      </c>
      <c r="F1" s="1" t="s">
        <v>25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1150</v>
      </c>
      <c r="AC1" s="3" t="s">
        <v>1161</v>
      </c>
      <c r="AD1" s="3" t="s">
        <v>26</v>
      </c>
      <c r="AE1" s="3" t="s">
        <v>27</v>
      </c>
      <c r="AF1" s="1" t="s">
        <v>1149</v>
      </c>
    </row>
    <row r="2" spans="1:32" ht="250" customHeight="1" x14ac:dyDescent="0.35">
      <c r="A2" s="2" t="s">
        <v>29</v>
      </c>
      <c r="B2" s="5">
        <v>305</v>
      </c>
      <c r="C2" s="2" t="s">
        <v>30</v>
      </c>
      <c r="D2" s="1" t="s">
        <v>31</v>
      </c>
      <c r="F2" s="2" t="s">
        <v>36</v>
      </c>
      <c r="G2" s="1" t="s">
        <v>1144</v>
      </c>
      <c r="H2" s="1" t="s">
        <v>31</v>
      </c>
      <c r="I2" s="1" t="s">
        <v>32</v>
      </c>
      <c r="J2" s="2" t="s">
        <v>33</v>
      </c>
      <c r="K2" s="2" t="s">
        <v>34</v>
      </c>
      <c r="L2" s="3"/>
      <c r="M2" s="3">
        <v>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 t="s">
        <v>35</v>
      </c>
      <c r="AB2" s="6" t="str">
        <f>HYPERLINK(_xlfn.CONCAT("https://www.google.com/maps/search/",Tabela1[[#This Row],[GPS]]),"##")</f>
        <v>##</v>
      </c>
      <c r="AC2" s="3" t="str">
        <f>_xlfn.CONCAT("https://raw.githubusercontent.com/marcelo-pascoal/Semaforos/refs/heads/main/fotosD/",Tabela1[[#This Row],[Foto1]])</f>
        <v>https://raw.githubusercontent.com/marcelo-pascoal/Semaforos/refs/heads/main/fotosD/DSCF6907.JPG</v>
      </c>
      <c r="AD2" s="3" t="str">
        <f>_xlfn.CONCAT("https://raw.githubusercontent.com/marcelo-pascoal/Semaforos/refs/heads/main/fotos/",Tabela1[[#This Row],[id_0]],".jpg")</f>
        <v>https://raw.githubusercontent.com/marcelo-pascoal/Semaforos/refs/heads/main/fotos/305.jpg</v>
      </c>
      <c r="AE2" s="3" t="str">
        <f>_xlfn.CONCAT("https://raw.githubusercontent.com/marcelo-pascoal/Semaforos/refs/heads/main/fotosD/",Tabela1[[#This Row],[id_0]],".jpg")</f>
        <v>https://raw.githubusercontent.com/marcelo-pascoal/Semaforos/refs/heads/main/fotosD/305.jpg</v>
      </c>
      <c r="AF2" s="3">
        <v>2</v>
      </c>
    </row>
    <row r="3" spans="1:32" ht="250" customHeight="1" x14ac:dyDescent="0.35">
      <c r="A3" s="2" t="s">
        <v>29</v>
      </c>
      <c r="B3" s="5">
        <v>306</v>
      </c>
      <c r="C3" s="2" t="s">
        <v>37</v>
      </c>
      <c r="D3" s="1" t="s">
        <v>38</v>
      </c>
      <c r="E3" s="2" t="s">
        <v>1147</v>
      </c>
      <c r="F3" s="2" t="s">
        <v>41</v>
      </c>
      <c r="G3" s="1" t="s">
        <v>1144</v>
      </c>
      <c r="H3" s="1" t="s">
        <v>1146</v>
      </c>
      <c r="I3" s="1" t="s">
        <v>39</v>
      </c>
      <c r="J3" s="2" t="s">
        <v>33</v>
      </c>
      <c r="K3" s="2" t="s">
        <v>34</v>
      </c>
      <c r="L3" s="3"/>
      <c r="M3" s="3"/>
      <c r="N3" s="3"/>
      <c r="O3" s="3">
        <v>1</v>
      </c>
      <c r="P3" s="3">
        <v>1</v>
      </c>
      <c r="Q3" s="3">
        <v>1</v>
      </c>
      <c r="R3" s="3"/>
      <c r="S3" s="3"/>
      <c r="T3" s="3"/>
      <c r="U3" s="3">
        <v>1</v>
      </c>
      <c r="V3" s="3">
        <v>1</v>
      </c>
      <c r="W3" s="3" t="s">
        <v>40</v>
      </c>
      <c r="X3" s="3"/>
      <c r="Y3" s="3"/>
      <c r="Z3" s="3" t="s">
        <v>40</v>
      </c>
      <c r="AA3" s="3" t="s">
        <v>35</v>
      </c>
      <c r="AB3" s="6" t="str">
        <f>HYPERLINK(_xlfn.CONCAT("https://www.google.com/maps/search/",Tabela1[[#This Row],[GPS]]),"##")</f>
        <v>##</v>
      </c>
      <c r="AC3" s="3" t="str">
        <f>_xlfn.CONCAT("https://raw.githubusercontent.com/marcelo-pascoal/Semaforos/refs/heads/main/fotosD/",Tabela1[[#This Row],[Foto1]])</f>
        <v>https://raw.githubusercontent.com/marcelo-pascoal/Semaforos/refs/heads/main/fotosD/DSCF6910.JPG</v>
      </c>
      <c r="AD3" s="3" t="str">
        <f>_xlfn.CONCAT("https://raw.githubusercontent.com/marcelo-pascoal/Semaforos/refs/heads/main/fotos/",Tabela1[[#This Row],[id_0]],".jpg")</f>
        <v>https://raw.githubusercontent.com/marcelo-pascoal/Semaforos/refs/heads/main/fotos/306.jpg</v>
      </c>
      <c r="AE3" s="3" t="str">
        <f>_xlfn.CONCAT("https://raw.githubusercontent.com/marcelo-pascoal/Semaforos/refs/heads/main/fotosD/",Tabela1[[#This Row],[id_0]],".jpg")</f>
        <v>https://raw.githubusercontent.com/marcelo-pascoal/Semaforos/refs/heads/main/fotosD/306.jpg</v>
      </c>
      <c r="AF3" s="3">
        <v>2</v>
      </c>
    </row>
    <row r="4" spans="1:32" ht="250" customHeight="1" x14ac:dyDescent="0.35">
      <c r="A4" s="2" t="s">
        <v>29</v>
      </c>
      <c r="B4" s="5">
        <v>307</v>
      </c>
      <c r="C4" s="2" t="s">
        <v>42</v>
      </c>
      <c r="D4" s="1" t="s">
        <v>38</v>
      </c>
      <c r="E4" s="2" t="s">
        <v>1147</v>
      </c>
      <c r="F4" s="2" t="s">
        <v>45</v>
      </c>
      <c r="G4" s="1" t="s">
        <v>1144</v>
      </c>
      <c r="H4" s="1" t="s">
        <v>1146</v>
      </c>
      <c r="I4" s="1" t="s">
        <v>43</v>
      </c>
      <c r="J4" s="2" t="s">
        <v>44</v>
      </c>
      <c r="K4" s="2" t="s">
        <v>34</v>
      </c>
      <c r="L4" s="3"/>
      <c r="M4" s="3"/>
      <c r="N4" s="3"/>
      <c r="O4" s="3">
        <v>1</v>
      </c>
      <c r="P4" s="3">
        <v>1</v>
      </c>
      <c r="Q4" s="3">
        <v>1</v>
      </c>
      <c r="R4" s="3"/>
      <c r="S4" s="3"/>
      <c r="T4" s="3"/>
      <c r="U4" s="3">
        <v>1</v>
      </c>
      <c r="V4" s="3">
        <v>1</v>
      </c>
      <c r="W4" s="3" t="s">
        <v>40</v>
      </c>
      <c r="X4" s="3"/>
      <c r="Y4" s="3"/>
      <c r="Z4" s="3" t="s">
        <v>40</v>
      </c>
      <c r="AA4" s="3" t="s">
        <v>35</v>
      </c>
      <c r="AB4" s="6" t="str">
        <f>HYPERLINK(_xlfn.CONCAT("https://www.google.com/maps/search/",Tabela1[[#This Row],[GPS]]),"##")</f>
        <v>##</v>
      </c>
      <c r="AC4" s="3" t="str">
        <f>_xlfn.CONCAT("https://raw.githubusercontent.com/marcelo-pascoal/Semaforos/refs/heads/main/fotosD/",Tabela1[[#This Row],[Foto1]])</f>
        <v>https://raw.githubusercontent.com/marcelo-pascoal/Semaforos/refs/heads/main/fotosD/DSCF6915.JPG</v>
      </c>
      <c r="AD4" s="3" t="str">
        <f>_xlfn.CONCAT("https://raw.githubusercontent.com/marcelo-pascoal/Semaforos/refs/heads/main/fotos/",Tabela1[[#This Row],[id_0]],".jpg")</f>
        <v>https://raw.githubusercontent.com/marcelo-pascoal/Semaforos/refs/heads/main/fotos/307.jpg</v>
      </c>
      <c r="AE4" s="3" t="str">
        <f>_xlfn.CONCAT("https://raw.githubusercontent.com/marcelo-pascoal/Semaforos/refs/heads/main/fotosD/",Tabela1[[#This Row],[id_0]],".jpg")</f>
        <v>https://raw.githubusercontent.com/marcelo-pascoal/Semaforos/refs/heads/main/fotosD/307.jpg</v>
      </c>
      <c r="AF4" s="3">
        <v>2</v>
      </c>
    </row>
    <row r="5" spans="1:32" ht="250" customHeight="1" x14ac:dyDescent="0.35">
      <c r="A5" s="2" t="s">
        <v>29</v>
      </c>
      <c r="B5" s="5">
        <v>308</v>
      </c>
      <c r="C5" s="2" t="s">
        <v>46</v>
      </c>
      <c r="D5" s="1" t="s">
        <v>38</v>
      </c>
      <c r="F5" s="2" t="s">
        <v>48</v>
      </c>
      <c r="G5" s="1" t="s">
        <v>1144</v>
      </c>
      <c r="H5" s="1" t="s">
        <v>1146</v>
      </c>
      <c r="I5" s="1" t="s">
        <v>47</v>
      </c>
      <c r="J5" s="2" t="s">
        <v>44</v>
      </c>
      <c r="K5" s="2" t="s">
        <v>34</v>
      </c>
      <c r="L5" s="3"/>
      <c r="M5" s="3"/>
      <c r="N5" s="3"/>
      <c r="O5" s="3"/>
      <c r="P5" s="3">
        <v>1</v>
      </c>
      <c r="Q5" s="3"/>
      <c r="R5" s="3"/>
      <c r="S5" s="3"/>
      <c r="T5" s="3"/>
      <c r="U5" s="3">
        <v>1</v>
      </c>
      <c r="V5" s="3">
        <v>1</v>
      </c>
      <c r="W5" s="3" t="s">
        <v>40</v>
      </c>
      <c r="X5" s="3"/>
      <c r="Y5" s="3"/>
      <c r="Z5" s="3" t="s">
        <v>40</v>
      </c>
      <c r="AA5" s="3" t="s">
        <v>35</v>
      </c>
      <c r="AB5" s="6" t="str">
        <f>HYPERLINK(_xlfn.CONCAT("https://www.google.com/maps/search/",Tabela1[[#This Row],[GPS]]),"##")</f>
        <v>##</v>
      </c>
      <c r="AC5" s="3" t="str">
        <f>_xlfn.CONCAT("https://raw.githubusercontent.com/marcelo-pascoal/Semaforos/refs/heads/main/fotosD/",Tabela1[[#This Row],[Foto1]])</f>
        <v>https://raw.githubusercontent.com/marcelo-pascoal/Semaforos/refs/heads/main/fotosD/DSCF6932.JPG</v>
      </c>
      <c r="AD5" s="3" t="str">
        <f>_xlfn.CONCAT("https://raw.githubusercontent.com/marcelo-pascoal/Semaforos/refs/heads/main/fotos/",Tabela1[[#This Row],[id_0]],".jpg")</f>
        <v>https://raw.githubusercontent.com/marcelo-pascoal/Semaforos/refs/heads/main/fotos/308.jpg</v>
      </c>
      <c r="AE5" s="3" t="str">
        <f>_xlfn.CONCAT("https://raw.githubusercontent.com/marcelo-pascoal/Semaforos/refs/heads/main/fotosD/",Tabela1[[#This Row],[id_0]],".jpg")</f>
        <v>https://raw.githubusercontent.com/marcelo-pascoal/Semaforos/refs/heads/main/fotosD/308.jpg</v>
      </c>
      <c r="AF5" s="3">
        <v>2</v>
      </c>
    </row>
    <row r="6" spans="1:32" ht="250" customHeight="1" x14ac:dyDescent="0.35">
      <c r="A6" s="2" t="s">
        <v>29</v>
      </c>
      <c r="B6" s="5">
        <v>309</v>
      </c>
      <c r="C6" s="2" t="s">
        <v>49</v>
      </c>
      <c r="D6" s="1" t="s">
        <v>38</v>
      </c>
      <c r="F6" s="2" t="s">
        <v>52</v>
      </c>
      <c r="G6" s="1" t="s">
        <v>1144</v>
      </c>
      <c r="H6" s="1" t="s">
        <v>1146</v>
      </c>
      <c r="I6" s="1" t="s">
        <v>50</v>
      </c>
      <c r="J6" s="2" t="s">
        <v>51</v>
      </c>
      <c r="K6" s="2" t="s">
        <v>34</v>
      </c>
      <c r="L6" s="3"/>
      <c r="M6" s="3"/>
      <c r="N6" s="3"/>
      <c r="O6" s="3">
        <v>1</v>
      </c>
      <c r="P6" s="3">
        <v>1</v>
      </c>
      <c r="Q6" s="3">
        <v>1</v>
      </c>
      <c r="R6" s="3">
        <v>1</v>
      </c>
      <c r="S6" s="3">
        <v>1</v>
      </c>
      <c r="T6" s="3">
        <v>1</v>
      </c>
      <c r="U6" s="3"/>
      <c r="V6" s="3"/>
      <c r="W6" s="3"/>
      <c r="X6" s="3"/>
      <c r="Y6" s="3"/>
      <c r="Z6" s="3" t="s">
        <v>40</v>
      </c>
      <c r="AA6" s="3" t="s">
        <v>35</v>
      </c>
      <c r="AB6" s="6" t="str">
        <f>HYPERLINK(_xlfn.CONCAT("https://www.google.com/maps/search/",Tabela1[[#This Row],[GPS]]),"##")</f>
        <v>##</v>
      </c>
      <c r="AC6" s="3" t="str">
        <f>_xlfn.CONCAT("https://raw.githubusercontent.com/marcelo-pascoal/Semaforos/refs/heads/main/fotosD/",Tabela1[[#This Row],[Foto1]])</f>
        <v>https://raw.githubusercontent.com/marcelo-pascoal/Semaforos/refs/heads/main/fotosD/DSCF6934.JPG</v>
      </c>
      <c r="AD6" s="3" t="str">
        <f>_xlfn.CONCAT("https://raw.githubusercontent.com/marcelo-pascoal/Semaforos/refs/heads/main/fotos/",Tabela1[[#This Row],[id_0]],".jpg")</f>
        <v>https://raw.githubusercontent.com/marcelo-pascoal/Semaforos/refs/heads/main/fotos/309.jpg</v>
      </c>
      <c r="AE6" s="3" t="str">
        <f>_xlfn.CONCAT("https://raw.githubusercontent.com/marcelo-pascoal/Semaforos/refs/heads/main/fotosD/",Tabela1[[#This Row],[id_0]],".jpg")</f>
        <v>https://raw.githubusercontent.com/marcelo-pascoal/Semaforos/refs/heads/main/fotosD/309.jpg</v>
      </c>
      <c r="AF6" s="3">
        <v>2</v>
      </c>
    </row>
    <row r="7" spans="1:32" ht="250" customHeight="1" x14ac:dyDescent="0.35">
      <c r="A7" s="2" t="s">
        <v>29</v>
      </c>
      <c r="B7" s="5">
        <v>310</v>
      </c>
      <c r="C7" s="2" t="s">
        <v>53</v>
      </c>
      <c r="D7" s="1" t="s">
        <v>38</v>
      </c>
      <c r="E7" s="2" t="s">
        <v>1147</v>
      </c>
      <c r="F7" s="2" t="s">
        <v>55</v>
      </c>
      <c r="G7" s="1" t="s">
        <v>1144</v>
      </c>
      <c r="H7" s="1" t="s">
        <v>1146</v>
      </c>
      <c r="I7" s="1" t="s">
        <v>54</v>
      </c>
      <c r="J7" s="2" t="s">
        <v>44</v>
      </c>
      <c r="K7" s="2" t="s">
        <v>34</v>
      </c>
      <c r="L7" s="3"/>
      <c r="M7" s="3"/>
      <c r="N7" s="3"/>
      <c r="O7" s="3">
        <v>1</v>
      </c>
      <c r="P7" s="3">
        <v>1</v>
      </c>
      <c r="Q7" s="3">
        <v>1</v>
      </c>
      <c r="R7" s="3">
        <v>1</v>
      </c>
      <c r="S7" s="3">
        <v>1</v>
      </c>
      <c r="T7" s="3">
        <v>1</v>
      </c>
      <c r="U7" s="3">
        <v>1</v>
      </c>
      <c r="V7" s="3">
        <v>1</v>
      </c>
      <c r="W7" s="3" t="s">
        <v>40</v>
      </c>
      <c r="X7" s="3"/>
      <c r="Y7" s="3"/>
      <c r="Z7" s="3" t="s">
        <v>40</v>
      </c>
      <c r="AA7" s="3" t="s">
        <v>35</v>
      </c>
      <c r="AB7" s="6" t="str">
        <f>HYPERLINK(_xlfn.CONCAT("https://www.google.com/maps/search/",Tabela1[[#This Row],[GPS]]),"##")</f>
        <v>##</v>
      </c>
      <c r="AC7" s="3" t="str">
        <f>_xlfn.CONCAT("https://raw.githubusercontent.com/marcelo-pascoal/Semaforos/refs/heads/main/fotosD/",Tabela1[[#This Row],[Foto1]])</f>
        <v>https://raw.githubusercontent.com/marcelo-pascoal/Semaforos/refs/heads/main/fotosD/DSCF6929.JPG</v>
      </c>
      <c r="AD7" s="3" t="str">
        <f>_xlfn.CONCAT("https://raw.githubusercontent.com/marcelo-pascoal/Semaforos/refs/heads/main/fotos/",Tabela1[[#This Row],[id_0]],".jpg")</f>
        <v>https://raw.githubusercontent.com/marcelo-pascoal/Semaforos/refs/heads/main/fotos/310.jpg</v>
      </c>
      <c r="AE7" s="3" t="str">
        <f>_xlfn.CONCAT("https://raw.githubusercontent.com/marcelo-pascoal/Semaforos/refs/heads/main/fotosD/",Tabela1[[#This Row],[id_0]],".jpg")</f>
        <v>https://raw.githubusercontent.com/marcelo-pascoal/Semaforos/refs/heads/main/fotosD/310.jpg</v>
      </c>
      <c r="AF7" s="3">
        <v>2</v>
      </c>
    </row>
    <row r="8" spans="1:32" ht="250" customHeight="1" x14ac:dyDescent="0.35">
      <c r="A8" s="2" t="s">
        <v>29</v>
      </c>
      <c r="B8" s="5">
        <v>311</v>
      </c>
      <c r="C8" s="2" t="s">
        <v>56</v>
      </c>
      <c r="D8" s="1" t="s">
        <v>38</v>
      </c>
      <c r="E8" s="2" t="s">
        <v>1147</v>
      </c>
      <c r="F8" s="2" t="s">
        <v>58</v>
      </c>
      <c r="G8" s="1" t="s">
        <v>1144</v>
      </c>
      <c r="H8" s="1" t="s">
        <v>1146</v>
      </c>
      <c r="I8" s="1" t="s">
        <v>57</v>
      </c>
      <c r="J8" s="2" t="s">
        <v>44</v>
      </c>
      <c r="K8" s="2" t="s">
        <v>34</v>
      </c>
      <c r="L8" s="3"/>
      <c r="M8" s="3"/>
      <c r="N8" s="3"/>
      <c r="O8" s="3">
        <v>1</v>
      </c>
      <c r="P8" s="3">
        <v>1</v>
      </c>
      <c r="Q8" s="3">
        <v>1</v>
      </c>
      <c r="R8" s="3">
        <v>1</v>
      </c>
      <c r="S8" s="3">
        <v>1</v>
      </c>
      <c r="T8" s="3">
        <v>1</v>
      </c>
      <c r="U8" s="3">
        <v>1</v>
      </c>
      <c r="V8" s="3">
        <v>1</v>
      </c>
      <c r="W8" s="3" t="s">
        <v>40</v>
      </c>
      <c r="X8" s="3"/>
      <c r="Y8" s="3"/>
      <c r="Z8" s="3" t="s">
        <v>40</v>
      </c>
      <c r="AA8" s="3" t="s">
        <v>35</v>
      </c>
      <c r="AB8" s="6" t="str">
        <f>HYPERLINK(_xlfn.CONCAT("https://www.google.com/maps/search/",Tabela1[[#This Row],[GPS]]),"##")</f>
        <v>##</v>
      </c>
      <c r="AC8" s="3" t="str">
        <f>_xlfn.CONCAT("https://raw.githubusercontent.com/marcelo-pascoal/Semaforos/refs/heads/main/fotosD/",Tabela1[[#This Row],[Foto1]])</f>
        <v>https://raw.githubusercontent.com/marcelo-pascoal/Semaforos/refs/heads/main/fotosD/DSCF6930.JPG</v>
      </c>
      <c r="AD8" s="3" t="str">
        <f>_xlfn.CONCAT("https://raw.githubusercontent.com/marcelo-pascoal/Semaforos/refs/heads/main/fotos/",Tabela1[[#This Row],[id_0]],".jpg")</f>
        <v>https://raw.githubusercontent.com/marcelo-pascoal/Semaforos/refs/heads/main/fotos/311.jpg</v>
      </c>
      <c r="AE8" s="3" t="str">
        <f>_xlfn.CONCAT("https://raw.githubusercontent.com/marcelo-pascoal/Semaforos/refs/heads/main/fotosD/",Tabela1[[#This Row],[id_0]],".jpg")</f>
        <v>https://raw.githubusercontent.com/marcelo-pascoal/Semaforos/refs/heads/main/fotosD/311.jpg</v>
      </c>
      <c r="AF8" s="3">
        <v>2</v>
      </c>
    </row>
    <row r="9" spans="1:32" ht="250" customHeight="1" x14ac:dyDescent="0.35">
      <c r="A9" s="2" t="s">
        <v>29</v>
      </c>
      <c r="B9" s="5">
        <v>312</v>
      </c>
      <c r="C9" s="2" t="s">
        <v>59</v>
      </c>
      <c r="D9" s="1" t="s">
        <v>60</v>
      </c>
      <c r="F9" s="2" t="s">
        <v>63</v>
      </c>
      <c r="G9" s="1" t="s">
        <v>1145</v>
      </c>
      <c r="H9" s="1" t="s">
        <v>1146</v>
      </c>
      <c r="I9" s="1" t="s">
        <v>61</v>
      </c>
      <c r="J9" s="2" t="s">
        <v>62</v>
      </c>
      <c r="K9" s="2" t="s">
        <v>34</v>
      </c>
      <c r="L9" s="3"/>
      <c r="M9" s="3"/>
      <c r="N9" s="3"/>
      <c r="O9" s="3">
        <v>3</v>
      </c>
      <c r="P9" s="3">
        <v>3</v>
      </c>
      <c r="Q9" s="3">
        <v>3</v>
      </c>
      <c r="R9" s="3"/>
      <c r="S9" s="3"/>
      <c r="T9" s="3"/>
      <c r="U9" s="3">
        <v>1</v>
      </c>
      <c r="V9" s="3">
        <v>1</v>
      </c>
      <c r="W9" s="3" t="s">
        <v>40</v>
      </c>
      <c r="X9" s="3"/>
      <c r="Y9" s="3"/>
      <c r="Z9" s="3"/>
      <c r="AA9" s="3" t="s">
        <v>35</v>
      </c>
      <c r="AB9" s="6" t="str">
        <f>HYPERLINK(_xlfn.CONCAT("https://www.google.com/maps/search/",Tabela1[[#This Row],[GPS]]),"##")</f>
        <v>##</v>
      </c>
      <c r="AC9" s="3" t="str">
        <f>_xlfn.CONCAT("https://raw.githubusercontent.com/marcelo-pascoal/Semaforos/refs/heads/main/fotosD/",Tabela1[[#This Row],[Foto1]])</f>
        <v>https://raw.githubusercontent.com/marcelo-pascoal/Semaforos/refs/heads/main/fotosD/DSCFLRA01-1.jpg</v>
      </c>
      <c r="AD9" s="3" t="str">
        <f>_xlfn.CONCAT("https://raw.githubusercontent.com/marcelo-pascoal/Semaforos/refs/heads/main/fotos/",Tabela1[[#This Row],[id_0]],".jpg")</f>
        <v>https://raw.githubusercontent.com/marcelo-pascoal/Semaforos/refs/heads/main/fotos/312.jpg</v>
      </c>
      <c r="AE9" s="3" t="str">
        <f>_xlfn.CONCAT("https://raw.githubusercontent.com/marcelo-pascoal/Semaforos/refs/heads/main/fotosD/",Tabela1[[#This Row],[id_0]],".jpg")</f>
        <v>https://raw.githubusercontent.com/marcelo-pascoal/Semaforos/refs/heads/main/fotosD/312.jpg</v>
      </c>
      <c r="AF9" s="3">
        <v>2</v>
      </c>
    </row>
    <row r="10" spans="1:32" ht="250" customHeight="1" x14ac:dyDescent="0.35">
      <c r="A10" s="2" t="s">
        <v>29</v>
      </c>
      <c r="B10" s="5">
        <v>428</v>
      </c>
      <c r="C10" s="2" t="s">
        <v>64</v>
      </c>
      <c r="D10" s="1" t="s">
        <v>38</v>
      </c>
      <c r="E10" s="2" t="s">
        <v>1147</v>
      </c>
      <c r="F10" s="2" t="s">
        <v>66</v>
      </c>
      <c r="G10" s="1" t="s">
        <v>1144</v>
      </c>
      <c r="H10" s="1" t="s">
        <v>1146</v>
      </c>
      <c r="I10" s="1" t="s">
        <v>65</v>
      </c>
      <c r="J10" s="2" t="s">
        <v>33</v>
      </c>
      <c r="K10" s="2" t="s">
        <v>34</v>
      </c>
      <c r="L10" s="3"/>
      <c r="M10" s="3"/>
      <c r="N10" s="3"/>
      <c r="O10" s="3">
        <v>1</v>
      </c>
      <c r="P10" s="3">
        <v>1</v>
      </c>
      <c r="Q10" s="3">
        <v>1</v>
      </c>
      <c r="R10" s="3"/>
      <c r="S10" s="3"/>
      <c r="T10" s="3"/>
      <c r="U10" s="3">
        <v>1</v>
      </c>
      <c r="V10" s="3">
        <v>1</v>
      </c>
      <c r="W10" s="3" t="s">
        <v>40</v>
      </c>
      <c r="X10" s="3"/>
      <c r="Y10" s="3"/>
      <c r="Z10" s="3" t="s">
        <v>40</v>
      </c>
      <c r="AA10" s="3" t="s">
        <v>35</v>
      </c>
      <c r="AB10" s="6" t="str">
        <f>HYPERLINK(_xlfn.CONCAT("https://www.google.com/maps/search/",Tabela1[[#This Row],[GPS]]),"##")</f>
        <v>##</v>
      </c>
      <c r="AC10" s="3" t="str">
        <f>_xlfn.CONCAT("https://raw.githubusercontent.com/marcelo-pascoal/Semaforos/refs/heads/main/fotosD/",Tabela1[[#This Row],[Foto1]])</f>
        <v>https://raw.githubusercontent.com/marcelo-pascoal/Semaforos/refs/heads/main/fotosD/DSCF6911.JPG</v>
      </c>
      <c r="AD10" s="3" t="str">
        <f>_xlfn.CONCAT("https://raw.githubusercontent.com/marcelo-pascoal/Semaforos/refs/heads/main/fotos/",Tabela1[[#This Row],[id_0]],".jpg")</f>
        <v>https://raw.githubusercontent.com/marcelo-pascoal/Semaforos/refs/heads/main/fotos/428.jpg</v>
      </c>
      <c r="AE10" s="3" t="str">
        <f>_xlfn.CONCAT("https://raw.githubusercontent.com/marcelo-pascoal/Semaforos/refs/heads/main/fotosD/",Tabela1[[#This Row],[id_0]],".jpg")</f>
        <v>https://raw.githubusercontent.com/marcelo-pascoal/Semaforos/refs/heads/main/fotosD/428.jpg</v>
      </c>
      <c r="AF10" s="3">
        <v>2</v>
      </c>
    </row>
    <row r="11" spans="1:32" ht="250" customHeight="1" x14ac:dyDescent="0.35">
      <c r="A11" s="2" t="s">
        <v>29</v>
      </c>
      <c r="B11" s="5">
        <v>429</v>
      </c>
      <c r="C11" s="2" t="s">
        <v>67</v>
      </c>
      <c r="D11" s="1" t="s">
        <v>38</v>
      </c>
      <c r="E11" s="2" t="s">
        <v>1147</v>
      </c>
      <c r="F11" s="2" t="s">
        <v>69</v>
      </c>
      <c r="G11" s="1" t="s">
        <v>1144</v>
      </c>
      <c r="H11" s="1" t="s">
        <v>1146</v>
      </c>
      <c r="I11" s="1" t="s">
        <v>68</v>
      </c>
      <c r="J11" s="2" t="s">
        <v>44</v>
      </c>
      <c r="K11" s="2" t="s">
        <v>34</v>
      </c>
      <c r="L11" s="3"/>
      <c r="M11" s="3"/>
      <c r="N11" s="3"/>
      <c r="O11" s="3">
        <v>1</v>
      </c>
      <c r="P11" s="3">
        <v>1</v>
      </c>
      <c r="Q11" s="3">
        <v>1</v>
      </c>
      <c r="R11" s="3"/>
      <c r="S11" s="3"/>
      <c r="T11" s="3"/>
      <c r="U11" s="3">
        <v>1</v>
      </c>
      <c r="V11" s="3">
        <v>1</v>
      </c>
      <c r="W11" s="3" t="s">
        <v>40</v>
      </c>
      <c r="X11" s="3"/>
      <c r="Y11" s="3"/>
      <c r="Z11" s="3"/>
      <c r="AA11" s="3" t="s">
        <v>35</v>
      </c>
      <c r="AB11" s="6" t="str">
        <f>HYPERLINK(_xlfn.CONCAT("https://www.google.com/maps/search/",Tabela1[[#This Row],[GPS]]),"##")</f>
        <v>##</v>
      </c>
      <c r="AC11" s="3" t="str">
        <f>_xlfn.CONCAT("https://raw.githubusercontent.com/marcelo-pascoal/Semaforos/refs/heads/main/fotosD/",Tabela1[[#This Row],[Foto1]])</f>
        <v>https://raw.githubusercontent.com/marcelo-pascoal/Semaforos/refs/heads/main/fotosD/DSCF6914.JPG</v>
      </c>
      <c r="AD11" s="3" t="str">
        <f>_xlfn.CONCAT("https://raw.githubusercontent.com/marcelo-pascoal/Semaforos/refs/heads/main/fotos/",Tabela1[[#This Row],[id_0]],".jpg")</f>
        <v>https://raw.githubusercontent.com/marcelo-pascoal/Semaforos/refs/heads/main/fotos/429.jpg</v>
      </c>
      <c r="AE11" s="3" t="str">
        <f>_xlfn.CONCAT("https://raw.githubusercontent.com/marcelo-pascoal/Semaforos/refs/heads/main/fotosD/",Tabela1[[#This Row],[id_0]],".jpg")</f>
        <v>https://raw.githubusercontent.com/marcelo-pascoal/Semaforos/refs/heads/main/fotosD/429.jpg</v>
      </c>
      <c r="AF11" s="3">
        <v>2</v>
      </c>
    </row>
    <row r="12" spans="1:32" ht="250" customHeight="1" x14ac:dyDescent="0.35">
      <c r="A12" s="2" t="s">
        <v>29</v>
      </c>
      <c r="B12" s="5">
        <v>621</v>
      </c>
      <c r="C12" s="2" t="s">
        <v>1162</v>
      </c>
      <c r="D12" s="1" t="s">
        <v>38</v>
      </c>
      <c r="E12" s="1"/>
      <c r="G12" s="1" t="s">
        <v>1144</v>
      </c>
      <c r="H12" s="1" t="s">
        <v>1146</v>
      </c>
      <c r="I12" s="1" t="s">
        <v>1155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7" t="str">
        <f>HYPERLINK(_xlfn.CONCAT("https://www.google.com/maps/search/",Tabela1[[#This Row],[GPS]]),"##")</f>
        <v>##</v>
      </c>
      <c r="AC12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12" s="3" t="str">
        <f>_xlfn.CONCAT("https://raw.githubusercontent.com/marcelo-pascoal/Semaforos/refs/heads/main/fotos/",Tabela1[[#This Row],[id_0]],".jpg")</f>
        <v>https://raw.githubusercontent.com/marcelo-pascoal/Semaforos/refs/heads/main/fotos/621.jpg</v>
      </c>
      <c r="AE12" s="3" t="str">
        <f>_xlfn.CONCAT("https://raw.githubusercontent.com/marcelo-pascoal/Semaforos/refs/heads/main/fotosD/",Tabela1[[#This Row],[id_0]],".jpg")</f>
        <v>https://raw.githubusercontent.com/marcelo-pascoal/Semaforos/refs/heads/main/fotosD/621.jpg</v>
      </c>
      <c r="AF12" s="3">
        <v>2</v>
      </c>
    </row>
    <row r="13" spans="1:32" ht="250" customHeight="1" x14ac:dyDescent="0.35">
      <c r="A13" s="2" t="s">
        <v>29</v>
      </c>
      <c r="B13" s="5">
        <v>622</v>
      </c>
      <c r="C13" s="2" t="s">
        <v>1163</v>
      </c>
      <c r="D13" s="1" t="s">
        <v>38</v>
      </c>
      <c r="E13" s="1"/>
      <c r="G13" s="1" t="s">
        <v>1144</v>
      </c>
      <c r="H13" s="1" t="s">
        <v>1146</v>
      </c>
      <c r="I13" s="1" t="s">
        <v>1154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7" t="str">
        <f>HYPERLINK(_xlfn.CONCAT("https://www.google.com/maps/search/",Tabela1[[#This Row],[GPS]]),"##")</f>
        <v>##</v>
      </c>
      <c r="AC13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13" s="3" t="str">
        <f>_xlfn.CONCAT("https://raw.githubusercontent.com/marcelo-pascoal/Semaforos/refs/heads/main/fotos/",Tabela1[[#This Row],[id_0]],".jpg")</f>
        <v>https://raw.githubusercontent.com/marcelo-pascoal/Semaforos/refs/heads/main/fotos/622.jpg</v>
      </c>
      <c r="AE13" s="3" t="str">
        <f>_xlfn.CONCAT("https://raw.githubusercontent.com/marcelo-pascoal/Semaforos/refs/heads/main/fotosD/",Tabela1[[#This Row],[id_0]],".jpg")</f>
        <v>https://raw.githubusercontent.com/marcelo-pascoal/Semaforos/refs/heads/main/fotosD/622.jpg</v>
      </c>
      <c r="AF13" s="3">
        <v>2</v>
      </c>
    </row>
    <row r="14" spans="1:32" ht="250" customHeight="1" x14ac:dyDescent="0.35">
      <c r="A14" s="2" t="s">
        <v>29</v>
      </c>
      <c r="B14" s="5">
        <v>430</v>
      </c>
      <c r="C14" s="2" t="s">
        <v>70</v>
      </c>
      <c r="D14" s="1" t="s">
        <v>38</v>
      </c>
      <c r="F14" s="2" t="s">
        <v>72</v>
      </c>
      <c r="G14" s="1" t="s">
        <v>1144</v>
      </c>
      <c r="H14" s="1" t="s">
        <v>1146</v>
      </c>
      <c r="I14" s="1" t="s">
        <v>71</v>
      </c>
      <c r="J14" s="2" t="s">
        <v>44</v>
      </c>
      <c r="K14" s="2" t="s">
        <v>34</v>
      </c>
      <c r="L14" s="3"/>
      <c r="M14" s="3"/>
      <c r="N14" s="3"/>
      <c r="O14" s="3"/>
      <c r="P14" s="3"/>
      <c r="Q14" s="3"/>
      <c r="R14" s="3"/>
      <c r="S14" s="3"/>
      <c r="T14" s="3"/>
      <c r="U14" s="3">
        <v>1</v>
      </c>
      <c r="V14" s="3">
        <v>1</v>
      </c>
      <c r="W14" s="3" t="s">
        <v>40</v>
      </c>
      <c r="X14" s="3"/>
      <c r="Y14" s="3"/>
      <c r="Z14" s="3" t="s">
        <v>40</v>
      </c>
      <c r="AA14" s="3" t="s">
        <v>35</v>
      </c>
      <c r="AB14" s="6" t="str">
        <f>HYPERLINK(_xlfn.CONCAT("https://www.google.com/maps/search/",Tabela1[[#This Row],[GPS]]),"##")</f>
        <v>##</v>
      </c>
      <c r="AC14" s="3" t="str">
        <f>_xlfn.CONCAT("https://raw.githubusercontent.com/marcelo-pascoal/Semaforos/refs/heads/main/fotosD/",Tabela1[[#This Row],[Foto1]])</f>
        <v>https://raw.githubusercontent.com/marcelo-pascoal/Semaforos/refs/heads/main/fotosD/DSCF6933.JPG</v>
      </c>
      <c r="AD14" s="3" t="str">
        <f>_xlfn.CONCAT("https://raw.githubusercontent.com/marcelo-pascoal/Semaforos/refs/heads/main/fotos/",Tabela1[[#This Row],[id_0]],".jpg")</f>
        <v>https://raw.githubusercontent.com/marcelo-pascoal/Semaforos/refs/heads/main/fotos/430.jpg</v>
      </c>
      <c r="AE14" s="3" t="str">
        <f>_xlfn.CONCAT("https://raw.githubusercontent.com/marcelo-pascoal/Semaforos/refs/heads/main/fotosD/",Tabela1[[#This Row],[id_0]],".jpg")</f>
        <v>https://raw.githubusercontent.com/marcelo-pascoal/Semaforos/refs/heads/main/fotosD/430.jpg</v>
      </c>
      <c r="AF14" s="3">
        <v>2</v>
      </c>
    </row>
    <row r="15" spans="1:32" ht="250" customHeight="1" x14ac:dyDescent="0.35">
      <c r="A15" s="2" t="s">
        <v>29</v>
      </c>
      <c r="B15" s="5">
        <v>431</v>
      </c>
      <c r="C15" s="2" t="s">
        <v>73</v>
      </c>
      <c r="D15" s="1" t="s">
        <v>38</v>
      </c>
      <c r="F15" s="2" t="s">
        <v>75</v>
      </c>
      <c r="G15" s="1" t="s">
        <v>1144</v>
      </c>
      <c r="H15" s="1" t="s">
        <v>1146</v>
      </c>
      <c r="I15" s="1" t="s">
        <v>74</v>
      </c>
      <c r="J15" s="2" t="s">
        <v>62</v>
      </c>
      <c r="K15" s="2" t="s">
        <v>34</v>
      </c>
      <c r="L15" s="3"/>
      <c r="M15" s="3"/>
      <c r="N15" s="3"/>
      <c r="O15" s="3">
        <v>1</v>
      </c>
      <c r="P15" s="3">
        <v>1</v>
      </c>
      <c r="Q15" s="3">
        <v>1</v>
      </c>
      <c r="R15" s="3"/>
      <c r="S15" s="3"/>
      <c r="T15" s="3"/>
      <c r="U15" s="3">
        <v>1</v>
      </c>
      <c r="V15" s="3">
        <v>1</v>
      </c>
      <c r="W15" s="3" t="s">
        <v>40</v>
      </c>
      <c r="X15" s="3"/>
      <c r="Y15" s="3"/>
      <c r="Z15" s="3" t="s">
        <v>40</v>
      </c>
      <c r="AA15" s="3" t="s">
        <v>35</v>
      </c>
      <c r="AB15" s="6" t="str">
        <f>HYPERLINK(_xlfn.CONCAT("https://www.google.com/maps/search/",Tabela1[[#This Row],[GPS]]),"##")</f>
        <v>##</v>
      </c>
      <c r="AC15" s="3" t="str">
        <f>_xlfn.CONCAT("https://raw.githubusercontent.com/marcelo-pascoal/Semaforos/refs/heads/main/fotosD/",Tabela1[[#This Row],[Foto1]])</f>
        <v>https://raw.githubusercontent.com/marcelo-pascoal/Semaforos/refs/heads/main/fotosD/DSCF6928.JPG</v>
      </c>
      <c r="AD15" s="3" t="str">
        <f>_xlfn.CONCAT("https://raw.githubusercontent.com/marcelo-pascoal/Semaforos/refs/heads/main/fotos/",Tabela1[[#This Row],[id_0]],".jpg")</f>
        <v>https://raw.githubusercontent.com/marcelo-pascoal/Semaforos/refs/heads/main/fotos/431.jpg</v>
      </c>
      <c r="AE15" s="3" t="str">
        <f>_xlfn.CONCAT("https://raw.githubusercontent.com/marcelo-pascoal/Semaforos/refs/heads/main/fotosD/",Tabela1[[#This Row],[id_0]],".jpg")</f>
        <v>https://raw.githubusercontent.com/marcelo-pascoal/Semaforos/refs/heads/main/fotosD/431.jpg</v>
      </c>
      <c r="AF15" s="3">
        <v>2</v>
      </c>
    </row>
    <row r="16" spans="1:32" ht="250" customHeight="1" x14ac:dyDescent="0.35">
      <c r="A16" s="2" t="s">
        <v>29</v>
      </c>
      <c r="B16" s="5">
        <v>606</v>
      </c>
      <c r="C16" s="2" t="s">
        <v>76</v>
      </c>
      <c r="D16" s="1" t="s">
        <v>38</v>
      </c>
      <c r="G16" s="1" t="s">
        <v>1144</v>
      </c>
      <c r="H16" s="1" t="s">
        <v>1146</v>
      </c>
      <c r="I16" s="1" t="s">
        <v>77</v>
      </c>
      <c r="J16" s="2" t="s">
        <v>62</v>
      </c>
      <c r="K16" s="2" t="s">
        <v>34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 t="s">
        <v>40</v>
      </c>
      <c r="X16" s="3"/>
      <c r="Y16" s="3"/>
      <c r="Z16" s="3" t="s">
        <v>40</v>
      </c>
      <c r="AA16" s="3" t="s">
        <v>35</v>
      </c>
      <c r="AB16" s="6" t="str">
        <f>HYPERLINK(_xlfn.CONCAT("https://www.google.com/maps/search/",Tabela1[[#This Row],[GPS]]),"##")</f>
        <v>##</v>
      </c>
      <c r="AC16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16" s="3" t="str">
        <f>_xlfn.CONCAT("https://raw.githubusercontent.com/marcelo-pascoal/Semaforos/refs/heads/main/fotos/",Tabela1[[#This Row],[id_0]],".jpg")</f>
        <v>https://raw.githubusercontent.com/marcelo-pascoal/Semaforos/refs/heads/main/fotos/606.jpg</v>
      </c>
      <c r="AE16" s="3" t="str">
        <f>_xlfn.CONCAT("https://raw.githubusercontent.com/marcelo-pascoal/Semaforos/refs/heads/main/fotosD/",Tabela1[[#This Row],[id_0]],".jpg")</f>
        <v>https://raw.githubusercontent.com/marcelo-pascoal/Semaforos/refs/heads/main/fotosD/606.jpg</v>
      </c>
      <c r="AF16" s="3">
        <v>2</v>
      </c>
    </row>
    <row r="17" spans="1:32" ht="250" customHeight="1" x14ac:dyDescent="0.35">
      <c r="A17" s="2" t="s">
        <v>78</v>
      </c>
      <c r="B17" s="5">
        <v>303</v>
      </c>
      <c r="C17" s="2" t="s">
        <v>79</v>
      </c>
      <c r="D17" s="1" t="s">
        <v>38</v>
      </c>
      <c r="F17" s="2" t="s">
        <v>82</v>
      </c>
      <c r="G17" s="1" t="s">
        <v>1144</v>
      </c>
      <c r="H17" s="1" t="s">
        <v>1146</v>
      </c>
      <c r="I17" s="1" t="s">
        <v>80</v>
      </c>
      <c r="J17" s="2" t="s">
        <v>81</v>
      </c>
      <c r="K17" s="2" t="s">
        <v>34</v>
      </c>
      <c r="L17" s="3"/>
      <c r="M17" s="3"/>
      <c r="N17" s="3"/>
      <c r="O17" s="3">
        <v>1</v>
      </c>
      <c r="P17" s="3">
        <v>1</v>
      </c>
      <c r="Q17" s="3">
        <v>1</v>
      </c>
      <c r="R17" s="3"/>
      <c r="S17" s="3"/>
      <c r="T17" s="3"/>
      <c r="U17" s="3">
        <v>1</v>
      </c>
      <c r="V17" s="3">
        <v>1</v>
      </c>
      <c r="W17" s="3" t="s">
        <v>40</v>
      </c>
      <c r="X17" s="3"/>
      <c r="Y17" s="3"/>
      <c r="Z17" s="3" t="s">
        <v>40</v>
      </c>
      <c r="AA17" s="3" t="s">
        <v>35</v>
      </c>
      <c r="AB17" s="6" t="str">
        <f>HYPERLINK(_xlfn.CONCAT("https://www.google.com/maps/search/",Tabela1[[#This Row],[GPS]]),"##")</f>
        <v>##</v>
      </c>
      <c r="AC17" s="3" t="str">
        <f>_xlfn.CONCAT("https://raw.githubusercontent.com/marcelo-pascoal/Semaforos/refs/heads/main/fotosD/",Tabela1[[#This Row],[Foto1]])</f>
        <v>https://raw.githubusercontent.com/marcelo-pascoal/Semaforos/refs/heads/main/fotosD/DSCF6918.JPG</v>
      </c>
      <c r="AD17" s="3" t="str">
        <f>_xlfn.CONCAT("https://raw.githubusercontent.com/marcelo-pascoal/Semaforos/refs/heads/main/fotos/",Tabela1[[#This Row],[id_0]],".jpg")</f>
        <v>https://raw.githubusercontent.com/marcelo-pascoal/Semaforos/refs/heads/main/fotos/303.jpg</v>
      </c>
      <c r="AE17" s="3" t="str">
        <f>_xlfn.CONCAT("https://raw.githubusercontent.com/marcelo-pascoal/Semaforos/refs/heads/main/fotosD/",Tabela1[[#This Row],[id_0]],".jpg")</f>
        <v>https://raw.githubusercontent.com/marcelo-pascoal/Semaforos/refs/heads/main/fotosD/303.jpg</v>
      </c>
      <c r="AF17" s="3">
        <v>2</v>
      </c>
    </row>
    <row r="18" spans="1:32" ht="250" customHeight="1" x14ac:dyDescent="0.35">
      <c r="A18" s="2" t="s">
        <v>78</v>
      </c>
      <c r="B18" s="5">
        <v>304</v>
      </c>
      <c r="C18" s="2" t="s">
        <v>83</v>
      </c>
      <c r="D18" s="1" t="s">
        <v>60</v>
      </c>
      <c r="F18" s="2" t="s">
        <v>85</v>
      </c>
      <c r="G18" s="1" t="s">
        <v>1145</v>
      </c>
      <c r="H18" s="1" t="s">
        <v>1146</v>
      </c>
      <c r="I18" s="1" t="s">
        <v>84</v>
      </c>
      <c r="J18" s="2" t="s">
        <v>62</v>
      </c>
      <c r="K18" s="2" t="s">
        <v>34</v>
      </c>
      <c r="L18" s="3">
        <v>1</v>
      </c>
      <c r="M18" s="3"/>
      <c r="N18" s="3"/>
      <c r="O18" s="3">
        <v>1</v>
      </c>
      <c r="P18" s="3">
        <v>2</v>
      </c>
      <c r="Q18" s="3">
        <v>2</v>
      </c>
      <c r="R18" s="3"/>
      <c r="S18" s="3"/>
      <c r="T18" s="3"/>
      <c r="U18" s="3">
        <v>1</v>
      </c>
      <c r="V18" s="3">
        <v>1</v>
      </c>
      <c r="W18" s="3" t="s">
        <v>40</v>
      </c>
      <c r="X18" s="3"/>
      <c r="Y18" s="3"/>
      <c r="Z18" s="3"/>
      <c r="AA18" s="3" t="s">
        <v>35</v>
      </c>
      <c r="AB18" s="6" t="str">
        <f>HYPERLINK(_xlfn.CONCAT("https://www.google.com/maps/search/",Tabela1[[#This Row],[GPS]]),"##")</f>
        <v>##</v>
      </c>
      <c r="AC18" s="3" t="str">
        <f>_xlfn.CONCAT("https://raw.githubusercontent.com/marcelo-pascoal/Semaforos/refs/heads/main/fotosD/",Tabela1[[#This Row],[Foto1]])</f>
        <v>https://raw.githubusercontent.com/marcelo-pascoal/Semaforos/refs/heads/main/fotosD/DSCF6921.JPG</v>
      </c>
      <c r="AD18" s="3" t="str">
        <f>_xlfn.CONCAT("https://raw.githubusercontent.com/marcelo-pascoal/Semaforos/refs/heads/main/fotos/",Tabela1[[#This Row],[id_0]],".jpg")</f>
        <v>https://raw.githubusercontent.com/marcelo-pascoal/Semaforos/refs/heads/main/fotos/304.jpg</v>
      </c>
      <c r="AE18" s="3" t="str">
        <f>_xlfn.CONCAT("https://raw.githubusercontent.com/marcelo-pascoal/Semaforos/refs/heads/main/fotosD/",Tabela1[[#This Row],[id_0]],".jpg")</f>
        <v>https://raw.githubusercontent.com/marcelo-pascoal/Semaforos/refs/heads/main/fotosD/304.jpg</v>
      </c>
      <c r="AF18" s="3">
        <v>2</v>
      </c>
    </row>
    <row r="19" spans="1:32" ht="250" customHeight="1" x14ac:dyDescent="0.35">
      <c r="A19" s="2" t="s">
        <v>78</v>
      </c>
      <c r="B19" s="5">
        <v>432</v>
      </c>
      <c r="C19" s="2" t="s">
        <v>86</v>
      </c>
      <c r="D19" s="1" t="s">
        <v>38</v>
      </c>
      <c r="F19" s="2" t="s">
        <v>88</v>
      </c>
      <c r="G19" s="1" t="s">
        <v>1144</v>
      </c>
      <c r="H19" s="1" t="s">
        <v>1146</v>
      </c>
      <c r="I19" s="1" t="s">
        <v>87</v>
      </c>
      <c r="J19" s="2" t="s">
        <v>62</v>
      </c>
      <c r="K19" s="2" t="s">
        <v>34</v>
      </c>
      <c r="L19" s="3"/>
      <c r="M19" s="3"/>
      <c r="N19" s="3"/>
      <c r="O19" s="3"/>
      <c r="P19" s="3"/>
      <c r="Q19" s="3"/>
      <c r="R19" s="3"/>
      <c r="S19" s="3"/>
      <c r="T19" s="3"/>
      <c r="U19" s="3">
        <v>1</v>
      </c>
      <c r="V19" s="3">
        <v>1</v>
      </c>
      <c r="W19" s="3" t="s">
        <v>40</v>
      </c>
      <c r="X19" s="3"/>
      <c r="Y19" s="3"/>
      <c r="Z19" s="3" t="s">
        <v>40</v>
      </c>
      <c r="AA19" s="3" t="s">
        <v>35</v>
      </c>
      <c r="AB19" s="6" t="str">
        <f>HYPERLINK(_xlfn.CONCAT("https://www.google.com/maps/search/",Tabela1[[#This Row],[GPS]]),"##")</f>
        <v>##</v>
      </c>
      <c r="AC19" s="3" t="str">
        <f>_xlfn.CONCAT("https://raw.githubusercontent.com/marcelo-pascoal/Semaforos/refs/heads/main/fotosD/",Tabela1[[#This Row],[Foto1]])</f>
        <v>https://raw.githubusercontent.com/marcelo-pascoal/Semaforos/refs/heads/main/fotosD/DSCF6920-1.JPG</v>
      </c>
      <c r="AD19" s="3" t="str">
        <f>_xlfn.CONCAT("https://raw.githubusercontent.com/marcelo-pascoal/Semaforos/refs/heads/main/fotos/",Tabela1[[#This Row],[id_0]],".jpg")</f>
        <v>https://raw.githubusercontent.com/marcelo-pascoal/Semaforos/refs/heads/main/fotos/432.jpg</v>
      </c>
      <c r="AE19" s="3" t="str">
        <f>_xlfn.CONCAT("https://raw.githubusercontent.com/marcelo-pascoal/Semaforos/refs/heads/main/fotosD/",Tabela1[[#This Row],[id_0]],".jpg")</f>
        <v>https://raw.githubusercontent.com/marcelo-pascoal/Semaforos/refs/heads/main/fotosD/432.jpg</v>
      </c>
      <c r="AF19" s="3">
        <v>2</v>
      </c>
    </row>
    <row r="20" spans="1:32" ht="250" customHeight="1" x14ac:dyDescent="0.35">
      <c r="A20" s="2" t="s">
        <v>78</v>
      </c>
      <c r="B20" s="5">
        <v>433</v>
      </c>
      <c r="C20" s="2" t="s">
        <v>89</v>
      </c>
      <c r="D20" s="1" t="s">
        <v>38</v>
      </c>
      <c r="F20" s="2" t="s">
        <v>91</v>
      </c>
      <c r="G20" s="1" t="s">
        <v>1144</v>
      </c>
      <c r="H20" s="1" t="s">
        <v>1146</v>
      </c>
      <c r="I20" s="1" t="s">
        <v>90</v>
      </c>
      <c r="J20" s="2" t="s">
        <v>62</v>
      </c>
      <c r="K20" s="2" t="s">
        <v>34</v>
      </c>
      <c r="L20" s="3"/>
      <c r="M20" s="3"/>
      <c r="N20" s="3"/>
      <c r="O20" s="3">
        <v>1</v>
      </c>
      <c r="P20" s="3">
        <v>1</v>
      </c>
      <c r="Q20" s="3">
        <v>1</v>
      </c>
      <c r="R20" s="3"/>
      <c r="S20" s="3"/>
      <c r="T20" s="3"/>
      <c r="U20" s="3"/>
      <c r="V20" s="3"/>
      <c r="W20" s="3" t="s">
        <v>40</v>
      </c>
      <c r="X20" s="3"/>
      <c r="Y20" s="3"/>
      <c r="Z20" s="3" t="s">
        <v>40</v>
      </c>
      <c r="AA20" s="3" t="s">
        <v>35</v>
      </c>
      <c r="AB20" s="6" t="str">
        <f>HYPERLINK(_xlfn.CONCAT("https://www.google.com/maps/search/",Tabela1[[#This Row],[GPS]]),"##")</f>
        <v>##</v>
      </c>
      <c r="AC20" s="3" t="str">
        <f>_xlfn.CONCAT("https://raw.githubusercontent.com/marcelo-pascoal/Semaforos/refs/heads/main/fotosD/",Tabela1[[#This Row],[Foto1]])</f>
        <v>https://raw.githubusercontent.com/marcelo-pascoal/Semaforos/refs/heads/main/fotosD/DSCF6920.JPG</v>
      </c>
      <c r="AD20" s="3" t="str">
        <f>_xlfn.CONCAT("https://raw.githubusercontent.com/marcelo-pascoal/Semaforos/refs/heads/main/fotos/",Tabela1[[#This Row],[id_0]],".jpg")</f>
        <v>https://raw.githubusercontent.com/marcelo-pascoal/Semaforos/refs/heads/main/fotos/433.jpg</v>
      </c>
      <c r="AE20" s="3" t="str">
        <f>_xlfn.CONCAT("https://raw.githubusercontent.com/marcelo-pascoal/Semaforos/refs/heads/main/fotosD/",Tabela1[[#This Row],[id_0]],".jpg")</f>
        <v>https://raw.githubusercontent.com/marcelo-pascoal/Semaforos/refs/heads/main/fotosD/433.jpg</v>
      </c>
      <c r="AF20" s="3">
        <v>2</v>
      </c>
    </row>
    <row r="21" spans="1:32" ht="250" customHeight="1" x14ac:dyDescent="0.35">
      <c r="A21" s="2" t="s">
        <v>78</v>
      </c>
      <c r="B21" s="5">
        <v>434</v>
      </c>
      <c r="C21" s="2" t="s">
        <v>92</v>
      </c>
      <c r="D21" s="1" t="s">
        <v>38</v>
      </c>
      <c r="F21" s="2" t="s">
        <v>94</v>
      </c>
      <c r="G21" s="1" t="s">
        <v>1144</v>
      </c>
      <c r="H21" s="1" t="s">
        <v>1146</v>
      </c>
      <c r="I21" s="1" t="s">
        <v>93</v>
      </c>
      <c r="J21" s="2" t="s">
        <v>81</v>
      </c>
      <c r="K21" s="2" t="s">
        <v>34</v>
      </c>
      <c r="L21" s="3"/>
      <c r="M21" s="3"/>
      <c r="N21" s="3"/>
      <c r="O21" s="3">
        <v>1</v>
      </c>
      <c r="P21" s="3">
        <v>1</v>
      </c>
      <c r="Q21" s="3">
        <v>1</v>
      </c>
      <c r="R21" s="3"/>
      <c r="S21" s="3"/>
      <c r="T21" s="3"/>
      <c r="U21" s="3">
        <v>1</v>
      </c>
      <c r="V21" s="3">
        <v>1</v>
      </c>
      <c r="W21" s="3" t="s">
        <v>40</v>
      </c>
      <c r="X21" s="3"/>
      <c r="Y21" s="3"/>
      <c r="Z21" s="3"/>
      <c r="AA21" s="3" t="s">
        <v>35</v>
      </c>
      <c r="AB21" s="6" t="str">
        <f>HYPERLINK(_xlfn.CONCAT("https://www.google.com/maps/search/",Tabela1[[#This Row],[GPS]]),"##")</f>
        <v>##</v>
      </c>
      <c r="AC21" s="3" t="str">
        <f>_xlfn.CONCAT("https://raw.githubusercontent.com/marcelo-pascoal/Semaforos/refs/heads/main/fotosD/",Tabela1[[#This Row],[Foto1]])</f>
        <v>https://raw.githubusercontent.com/marcelo-pascoal/Semaforos/refs/heads/main/fotosD/DSCF6919.JPG</v>
      </c>
      <c r="AD21" s="3" t="str">
        <f>_xlfn.CONCAT("https://raw.githubusercontent.com/marcelo-pascoal/Semaforos/refs/heads/main/fotos/",Tabela1[[#This Row],[id_0]],".jpg")</f>
        <v>https://raw.githubusercontent.com/marcelo-pascoal/Semaforos/refs/heads/main/fotos/434.jpg</v>
      </c>
      <c r="AE21" s="3" t="str">
        <f>_xlfn.CONCAT("https://raw.githubusercontent.com/marcelo-pascoal/Semaforos/refs/heads/main/fotosD/",Tabela1[[#This Row],[id_0]],".jpg")</f>
        <v>https://raw.githubusercontent.com/marcelo-pascoal/Semaforos/refs/heads/main/fotosD/434.jpg</v>
      </c>
      <c r="AF21" s="3">
        <v>2</v>
      </c>
    </row>
    <row r="22" spans="1:32" ht="250" customHeight="1" x14ac:dyDescent="0.35">
      <c r="A22" s="2" t="s">
        <v>95</v>
      </c>
      <c r="B22" s="5">
        <v>299</v>
      </c>
      <c r="C22" s="2" t="s">
        <v>96</v>
      </c>
      <c r="D22" s="1" t="s">
        <v>38</v>
      </c>
      <c r="E22" s="2" t="s">
        <v>1147</v>
      </c>
      <c r="F22" s="2" t="s">
        <v>99</v>
      </c>
      <c r="G22" s="1" t="s">
        <v>1144</v>
      </c>
      <c r="H22" s="1" t="s">
        <v>1146</v>
      </c>
      <c r="I22" s="1" t="s">
        <v>97</v>
      </c>
      <c r="J22" s="2" t="s">
        <v>98</v>
      </c>
      <c r="K22" s="2" t="s">
        <v>34</v>
      </c>
      <c r="L22" s="3"/>
      <c r="M22" s="3"/>
      <c r="N22" s="3"/>
      <c r="O22" s="3">
        <v>2</v>
      </c>
      <c r="P22" s="3">
        <v>3</v>
      </c>
      <c r="Q22" s="3">
        <v>2</v>
      </c>
      <c r="R22" s="3"/>
      <c r="S22" s="3"/>
      <c r="T22" s="3"/>
      <c r="U22" s="3">
        <v>2</v>
      </c>
      <c r="V22" s="3">
        <v>2</v>
      </c>
      <c r="W22" s="3" t="s">
        <v>40</v>
      </c>
      <c r="X22" s="3"/>
      <c r="Y22" s="3"/>
      <c r="Z22" s="3" t="s">
        <v>40</v>
      </c>
      <c r="AA22" s="3" t="s">
        <v>35</v>
      </c>
      <c r="AB22" s="6" t="str">
        <f>HYPERLINK(_xlfn.CONCAT("https://www.google.com/maps/search/",Tabela1[[#This Row],[GPS]]),"##")</f>
        <v>##</v>
      </c>
      <c r="AC22" s="3" t="str">
        <f>_xlfn.CONCAT("https://raw.githubusercontent.com/marcelo-pascoal/Semaforos/refs/heads/main/fotosD/",Tabela1[[#This Row],[Foto1]])</f>
        <v>https://raw.githubusercontent.com/marcelo-pascoal/Semaforos/refs/heads/main/fotosD/DSCF6938.JPG</v>
      </c>
      <c r="AD22" s="3" t="str">
        <f>_xlfn.CONCAT("https://raw.githubusercontent.com/marcelo-pascoal/Semaforos/refs/heads/main/fotos/",Tabela1[[#This Row],[id_0]],".jpg")</f>
        <v>https://raw.githubusercontent.com/marcelo-pascoal/Semaforos/refs/heads/main/fotos/299.jpg</v>
      </c>
      <c r="AE22" s="3" t="str">
        <f>_xlfn.CONCAT("https://raw.githubusercontent.com/marcelo-pascoal/Semaforos/refs/heads/main/fotosD/",Tabela1[[#This Row],[id_0]],".jpg")</f>
        <v>https://raw.githubusercontent.com/marcelo-pascoal/Semaforos/refs/heads/main/fotosD/299.jpg</v>
      </c>
      <c r="AF22" s="3">
        <v>2</v>
      </c>
    </row>
    <row r="23" spans="1:32" ht="250" customHeight="1" x14ac:dyDescent="0.35">
      <c r="A23" s="2" t="s">
        <v>95</v>
      </c>
      <c r="B23" s="5">
        <v>300</v>
      </c>
      <c r="C23" s="2" t="s">
        <v>100</v>
      </c>
      <c r="D23" s="1" t="s">
        <v>38</v>
      </c>
      <c r="F23" s="2" t="s">
        <v>102</v>
      </c>
      <c r="G23" s="1" t="s">
        <v>1144</v>
      </c>
      <c r="H23" s="1" t="s">
        <v>1146</v>
      </c>
      <c r="I23" s="1" t="s">
        <v>101</v>
      </c>
      <c r="J23" s="2" t="s">
        <v>98</v>
      </c>
      <c r="K23" s="2" t="s">
        <v>34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 t="s">
        <v>40</v>
      </c>
      <c r="X23" s="3"/>
      <c r="Y23" s="3"/>
      <c r="Z23" s="3" t="s">
        <v>40</v>
      </c>
      <c r="AA23" s="3" t="s">
        <v>35</v>
      </c>
      <c r="AB23" s="6" t="str">
        <f>HYPERLINK(_xlfn.CONCAT("https://www.google.com/maps/search/",Tabela1[[#This Row],[GPS]]),"##")</f>
        <v>##</v>
      </c>
      <c r="AC23" s="3" t="str">
        <f>_xlfn.CONCAT("https://raw.githubusercontent.com/marcelo-pascoal/Semaforos/refs/heads/main/fotosD/",Tabela1[[#This Row],[Foto1]])</f>
        <v>https://raw.githubusercontent.com/marcelo-pascoal/Semaforos/refs/heads/main/fotosD/DSCF6940.JPG</v>
      </c>
      <c r="AD23" s="3" t="str">
        <f>_xlfn.CONCAT("https://raw.githubusercontent.com/marcelo-pascoal/Semaforos/refs/heads/main/fotos/",Tabela1[[#This Row],[id_0]],".jpg")</f>
        <v>https://raw.githubusercontent.com/marcelo-pascoal/Semaforos/refs/heads/main/fotos/300.jpg</v>
      </c>
      <c r="AE23" s="3" t="str">
        <f>_xlfn.CONCAT("https://raw.githubusercontent.com/marcelo-pascoal/Semaforos/refs/heads/main/fotosD/",Tabela1[[#This Row],[id_0]],".jpg")</f>
        <v>https://raw.githubusercontent.com/marcelo-pascoal/Semaforos/refs/heads/main/fotosD/300.jpg</v>
      </c>
      <c r="AF23" s="3">
        <v>2</v>
      </c>
    </row>
    <row r="24" spans="1:32" ht="250" customHeight="1" x14ac:dyDescent="0.35">
      <c r="A24" s="2" t="s">
        <v>95</v>
      </c>
      <c r="B24" s="5">
        <v>301</v>
      </c>
      <c r="C24" s="2" t="s">
        <v>103</v>
      </c>
      <c r="D24" s="1" t="s">
        <v>38</v>
      </c>
      <c r="F24" s="2" t="s">
        <v>106</v>
      </c>
      <c r="G24" s="1" t="s">
        <v>1144</v>
      </c>
      <c r="H24" s="1" t="s">
        <v>1146</v>
      </c>
      <c r="I24" s="1" t="s">
        <v>104</v>
      </c>
      <c r="J24" s="2" t="s">
        <v>105</v>
      </c>
      <c r="K24" s="2" t="s">
        <v>34</v>
      </c>
      <c r="L24" s="3"/>
      <c r="M24" s="3"/>
      <c r="N24" s="3"/>
      <c r="O24" s="3">
        <v>2</v>
      </c>
      <c r="P24" s="3">
        <v>3</v>
      </c>
      <c r="Q24" s="3">
        <v>2</v>
      </c>
      <c r="R24" s="3"/>
      <c r="S24" s="3"/>
      <c r="T24" s="3"/>
      <c r="U24" s="3">
        <v>1</v>
      </c>
      <c r="V24" s="3">
        <v>1</v>
      </c>
      <c r="W24" s="3" t="s">
        <v>40</v>
      </c>
      <c r="X24" s="3"/>
      <c r="Y24" s="3"/>
      <c r="Z24" s="3" t="s">
        <v>40</v>
      </c>
      <c r="AA24" s="3" t="s">
        <v>35</v>
      </c>
      <c r="AB24" s="6" t="str">
        <f>HYPERLINK(_xlfn.CONCAT("https://www.google.com/maps/search/",Tabela1[[#This Row],[GPS]]),"##")</f>
        <v>##</v>
      </c>
      <c r="AC24" s="3" t="str">
        <f>_xlfn.CONCAT("https://raw.githubusercontent.com/marcelo-pascoal/Semaforos/refs/heads/main/fotosD/",Tabela1[[#This Row],[Foto1]])</f>
        <v>https://raw.githubusercontent.com/marcelo-pascoal/Semaforos/refs/heads/main/fotosD/DSCF6944.JPG</v>
      </c>
      <c r="AD24" s="3" t="str">
        <f>_xlfn.CONCAT("https://raw.githubusercontent.com/marcelo-pascoal/Semaforos/refs/heads/main/fotos/",Tabela1[[#This Row],[id_0]],".jpg")</f>
        <v>https://raw.githubusercontent.com/marcelo-pascoal/Semaforos/refs/heads/main/fotos/301.jpg</v>
      </c>
      <c r="AE24" s="3" t="str">
        <f>_xlfn.CONCAT("https://raw.githubusercontent.com/marcelo-pascoal/Semaforos/refs/heads/main/fotosD/",Tabela1[[#This Row],[id_0]],".jpg")</f>
        <v>https://raw.githubusercontent.com/marcelo-pascoal/Semaforos/refs/heads/main/fotosD/301.jpg</v>
      </c>
      <c r="AF24" s="3">
        <v>2</v>
      </c>
    </row>
    <row r="25" spans="1:32" ht="250" customHeight="1" x14ac:dyDescent="0.35">
      <c r="A25" s="2" t="s">
        <v>95</v>
      </c>
      <c r="B25" s="5">
        <v>302</v>
      </c>
      <c r="C25" s="2" t="s">
        <v>107</v>
      </c>
      <c r="D25" s="1" t="s">
        <v>38</v>
      </c>
      <c r="E25" s="2" t="s">
        <v>1147</v>
      </c>
      <c r="F25" s="2" t="s">
        <v>106</v>
      </c>
      <c r="G25" s="1" t="s">
        <v>1144</v>
      </c>
      <c r="H25" s="1" t="s">
        <v>1146</v>
      </c>
      <c r="I25" s="1" t="s">
        <v>108</v>
      </c>
      <c r="J25" s="2" t="s">
        <v>109</v>
      </c>
      <c r="K25" s="2" t="s">
        <v>34</v>
      </c>
      <c r="L25" s="3"/>
      <c r="M25" s="3"/>
      <c r="N25" s="3"/>
      <c r="O25" s="3">
        <v>2</v>
      </c>
      <c r="P25" s="3">
        <v>3</v>
      </c>
      <c r="Q25" s="3">
        <v>2</v>
      </c>
      <c r="R25" s="3"/>
      <c r="S25" s="3"/>
      <c r="T25" s="3"/>
      <c r="U25" s="3">
        <v>1</v>
      </c>
      <c r="V25" s="3">
        <v>1</v>
      </c>
      <c r="W25" s="3" t="s">
        <v>40</v>
      </c>
      <c r="X25" s="3"/>
      <c r="Y25" s="3"/>
      <c r="Z25" s="3" t="s">
        <v>40</v>
      </c>
      <c r="AA25" s="3" t="s">
        <v>35</v>
      </c>
      <c r="AB25" s="6" t="str">
        <f>HYPERLINK(_xlfn.CONCAT("https://www.google.com/maps/search/",Tabela1[[#This Row],[GPS]]),"##")</f>
        <v>##</v>
      </c>
      <c r="AC25" s="3" t="str">
        <f>_xlfn.CONCAT("https://raw.githubusercontent.com/marcelo-pascoal/Semaforos/refs/heads/main/fotosD/",Tabela1[[#This Row],[Foto1]])</f>
        <v>https://raw.githubusercontent.com/marcelo-pascoal/Semaforos/refs/heads/main/fotosD/DSCF6944.JPG</v>
      </c>
      <c r="AD25" s="3" t="str">
        <f>_xlfn.CONCAT("https://raw.githubusercontent.com/marcelo-pascoal/Semaforos/refs/heads/main/fotos/",Tabela1[[#This Row],[id_0]],".jpg")</f>
        <v>https://raw.githubusercontent.com/marcelo-pascoal/Semaforos/refs/heads/main/fotos/302.jpg</v>
      </c>
      <c r="AE25" s="3" t="str">
        <f>_xlfn.CONCAT("https://raw.githubusercontent.com/marcelo-pascoal/Semaforos/refs/heads/main/fotosD/",Tabela1[[#This Row],[id_0]],".jpg")</f>
        <v>https://raw.githubusercontent.com/marcelo-pascoal/Semaforos/refs/heads/main/fotosD/302.jpg</v>
      </c>
      <c r="AF25" s="3">
        <v>2</v>
      </c>
    </row>
    <row r="26" spans="1:32" ht="250" customHeight="1" x14ac:dyDescent="0.35">
      <c r="A26" s="2" t="s">
        <v>95</v>
      </c>
      <c r="B26" s="5">
        <v>435</v>
      </c>
      <c r="C26" s="2" t="s">
        <v>110</v>
      </c>
      <c r="D26" s="1" t="s">
        <v>60</v>
      </c>
      <c r="F26" s="2" t="s">
        <v>111</v>
      </c>
      <c r="G26" s="1" t="s">
        <v>1145</v>
      </c>
      <c r="H26" s="1" t="s">
        <v>1146</v>
      </c>
      <c r="I26" s="1" t="s">
        <v>1156</v>
      </c>
      <c r="J26" s="2" t="s">
        <v>98</v>
      </c>
      <c r="K26" s="2" t="s">
        <v>34</v>
      </c>
      <c r="L26" s="3"/>
      <c r="M26" s="3"/>
      <c r="N26" s="3"/>
      <c r="O26" s="3">
        <v>1</v>
      </c>
      <c r="P26" s="3">
        <v>1</v>
      </c>
      <c r="Q26" s="3">
        <v>1</v>
      </c>
      <c r="R26" s="3"/>
      <c r="S26" s="3"/>
      <c r="T26" s="3"/>
      <c r="U26" s="3"/>
      <c r="V26" s="3"/>
      <c r="W26" s="3" t="s">
        <v>40</v>
      </c>
      <c r="X26" s="3"/>
      <c r="Y26" s="3"/>
      <c r="Z26" s="3" t="s">
        <v>40</v>
      </c>
      <c r="AA26" s="3" t="s">
        <v>35</v>
      </c>
      <c r="AB26" s="6" t="str">
        <f>HYPERLINK(_xlfn.CONCAT("https://www.google.com/maps/search/",Tabela1[[#This Row],[GPS]]),"##")</f>
        <v>##</v>
      </c>
      <c r="AC26" s="3" t="str">
        <f>_xlfn.CONCAT("https://raw.githubusercontent.com/marcelo-pascoal/Semaforos/refs/heads/main/fotosD/",Tabela1[[#This Row],[Foto1]])</f>
        <v>https://raw.githubusercontent.com/marcelo-pascoal/Semaforos/refs/heads/main/fotosD/DSCF6936.JPG</v>
      </c>
      <c r="AD26" s="3" t="str">
        <f>_xlfn.CONCAT("https://raw.githubusercontent.com/marcelo-pascoal/Semaforos/refs/heads/main/fotos/",Tabela1[[#This Row],[id_0]],".jpg")</f>
        <v>https://raw.githubusercontent.com/marcelo-pascoal/Semaforos/refs/heads/main/fotos/435.jpg</v>
      </c>
      <c r="AE26" s="3" t="str">
        <f>_xlfn.CONCAT("https://raw.githubusercontent.com/marcelo-pascoal/Semaforos/refs/heads/main/fotosD/",Tabela1[[#This Row],[id_0]],".jpg")</f>
        <v>https://raw.githubusercontent.com/marcelo-pascoal/Semaforos/refs/heads/main/fotosD/435.jpg</v>
      </c>
      <c r="AF26" s="3">
        <v>2</v>
      </c>
    </row>
    <row r="27" spans="1:32" ht="250" customHeight="1" x14ac:dyDescent="0.35">
      <c r="A27" s="2" t="s">
        <v>95</v>
      </c>
      <c r="B27" s="5">
        <v>436</v>
      </c>
      <c r="C27" s="2" t="s">
        <v>112</v>
      </c>
      <c r="D27" s="1" t="s">
        <v>38</v>
      </c>
      <c r="E27" s="2" t="s">
        <v>1147</v>
      </c>
      <c r="F27" s="2" t="s">
        <v>114</v>
      </c>
      <c r="G27" s="1" t="s">
        <v>1144</v>
      </c>
      <c r="H27" s="1" t="s">
        <v>1146</v>
      </c>
      <c r="I27" s="1" t="s">
        <v>113</v>
      </c>
      <c r="J27" s="2" t="s">
        <v>98</v>
      </c>
      <c r="K27" s="2" t="s">
        <v>34</v>
      </c>
      <c r="L27" s="3"/>
      <c r="M27" s="3"/>
      <c r="N27" s="3"/>
      <c r="O27" s="3"/>
      <c r="P27" s="3"/>
      <c r="Q27" s="3"/>
      <c r="R27" s="3"/>
      <c r="S27" s="3"/>
      <c r="T27" s="3"/>
      <c r="U27" s="3">
        <v>1</v>
      </c>
      <c r="V27" s="3">
        <v>1</v>
      </c>
      <c r="W27" s="3" t="s">
        <v>40</v>
      </c>
      <c r="X27" s="3"/>
      <c r="Y27" s="3"/>
      <c r="Z27" s="3" t="s">
        <v>40</v>
      </c>
      <c r="AA27" s="3" t="s">
        <v>35</v>
      </c>
      <c r="AB27" s="6" t="str">
        <f>HYPERLINK(_xlfn.CONCAT("https://www.google.com/maps/search/",Tabela1[[#This Row],[GPS]]),"##")</f>
        <v>##</v>
      </c>
      <c r="AC27" s="3" t="str">
        <f>_xlfn.CONCAT("https://raw.githubusercontent.com/marcelo-pascoal/Semaforos/refs/heads/main/fotosD/",Tabela1[[#This Row],[Foto1]])</f>
        <v>https://raw.githubusercontent.com/marcelo-pascoal/Semaforos/refs/heads/main/fotosD/DSCF6939.JPG</v>
      </c>
      <c r="AD27" s="3" t="str">
        <f>_xlfn.CONCAT("https://raw.githubusercontent.com/marcelo-pascoal/Semaforos/refs/heads/main/fotos/",Tabela1[[#This Row],[id_0]],".jpg")</f>
        <v>https://raw.githubusercontent.com/marcelo-pascoal/Semaforos/refs/heads/main/fotos/436.jpg</v>
      </c>
      <c r="AE27" s="3" t="str">
        <f>_xlfn.CONCAT("https://raw.githubusercontent.com/marcelo-pascoal/Semaforos/refs/heads/main/fotosD/",Tabela1[[#This Row],[id_0]],".jpg")</f>
        <v>https://raw.githubusercontent.com/marcelo-pascoal/Semaforos/refs/heads/main/fotosD/436.jpg</v>
      </c>
      <c r="AF27" s="3">
        <v>2</v>
      </c>
    </row>
    <row r="28" spans="1:32" ht="250" customHeight="1" x14ac:dyDescent="0.35">
      <c r="A28" s="2" t="s">
        <v>95</v>
      </c>
      <c r="B28" s="5">
        <v>437</v>
      </c>
      <c r="C28" s="2" t="s">
        <v>115</v>
      </c>
      <c r="D28" s="1" t="s">
        <v>38</v>
      </c>
      <c r="F28" s="2" t="s">
        <v>117</v>
      </c>
      <c r="G28" s="1" t="s">
        <v>1144</v>
      </c>
      <c r="H28" s="1" t="s">
        <v>1146</v>
      </c>
      <c r="I28" s="1" t="s">
        <v>116</v>
      </c>
      <c r="J28" s="2" t="s">
        <v>98</v>
      </c>
      <c r="K28" s="2" t="s">
        <v>34</v>
      </c>
      <c r="L28" s="3"/>
      <c r="M28" s="3"/>
      <c r="N28" s="3"/>
      <c r="O28" s="3">
        <v>1</v>
      </c>
      <c r="P28" s="3">
        <v>1</v>
      </c>
      <c r="Q28" s="3">
        <v>1</v>
      </c>
      <c r="R28" s="3"/>
      <c r="S28" s="3"/>
      <c r="T28" s="3"/>
      <c r="U28" s="3"/>
      <c r="V28" s="3"/>
      <c r="W28" s="3" t="s">
        <v>40</v>
      </c>
      <c r="X28" s="3"/>
      <c r="Y28" s="3"/>
      <c r="Z28" s="3" t="s">
        <v>40</v>
      </c>
      <c r="AA28" s="3" t="s">
        <v>35</v>
      </c>
      <c r="AB28" s="6" t="str">
        <f>HYPERLINK(_xlfn.CONCAT("https://www.google.com/maps/search/",Tabela1[[#This Row],[GPS]]),"##")</f>
        <v>##</v>
      </c>
      <c r="AC28" s="3" t="str">
        <f>_xlfn.CONCAT("https://raw.githubusercontent.com/marcelo-pascoal/Semaforos/refs/heads/main/fotosD/",Tabela1[[#This Row],[Foto1]])</f>
        <v>https://raw.githubusercontent.com/marcelo-pascoal/Semaforos/refs/heads/main/fotosD/DSCF6937.JPG</v>
      </c>
      <c r="AD28" s="3" t="str">
        <f>_xlfn.CONCAT("https://raw.githubusercontent.com/marcelo-pascoal/Semaforos/refs/heads/main/fotos/",Tabela1[[#This Row],[id_0]],".jpg")</f>
        <v>https://raw.githubusercontent.com/marcelo-pascoal/Semaforos/refs/heads/main/fotos/437.jpg</v>
      </c>
      <c r="AE28" s="3" t="str">
        <f>_xlfn.CONCAT("https://raw.githubusercontent.com/marcelo-pascoal/Semaforos/refs/heads/main/fotosD/",Tabela1[[#This Row],[id_0]],".jpg")</f>
        <v>https://raw.githubusercontent.com/marcelo-pascoal/Semaforos/refs/heads/main/fotosD/437.jpg</v>
      </c>
      <c r="AF28" s="3">
        <v>2</v>
      </c>
    </row>
    <row r="29" spans="1:32" ht="250" customHeight="1" x14ac:dyDescent="0.35">
      <c r="A29" s="2" t="s">
        <v>95</v>
      </c>
      <c r="B29" s="5">
        <v>438</v>
      </c>
      <c r="C29" s="2" t="s">
        <v>118</v>
      </c>
      <c r="D29" s="1" t="s">
        <v>38</v>
      </c>
      <c r="F29" s="2" t="s">
        <v>120</v>
      </c>
      <c r="G29" s="1" t="s">
        <v>1144</v>
      </c>
      <c r="H29" s="1" t="s">
        <v>1146</v>
      </c>
      <c r="I29" s="1" t="s">
        <v>119</v>
      </c>
      <c r="J29" s="2" t="s">
        <v>105</v>
      </c>
      <c r="K29" s="2" t="s">
        <v>34</v>
      </c>
      <c r="L29" s="3"/>
      <c r="M29" s="3"/>
      <c r="N29" s="3"/>
      <c r="O29" s="3"/>
      <c r="P29" s="3"/>
      <c r="Q29" s="3"/>
      <c r="R29" s="3"/>
      <c r="S29" s="3"/>
      <c r="T29" s="3"/>
      <c r="U29" s="3">
        <v>1</v>
      </c>
      <c r="V29" s="3">
        <v>1</v>
      </c>
      <c r="W29" s="3" t="s">
        <v>40</v>
      </c>
      <c r="X29" s="3"/>
      <c r="Y29" s="3"/>
      <c r="Z29" s="3" t="s">
        <v>40</v>
      </c>
      <c r="AA29" s="3" t="s">
        <v>35</v>
      </c>
      <c r="AB29" s="6" t="str">
        <f>HYPERLINK(_xlfn.CONCAT("https://www.google.com/maps/search/",Tabela1[[#This Row],[GPS]]),"##")</f>
        <v>##</v>
      </c>
      <c r="AC29" s="3" t="str">
        <f>_xlfn.CONCAT("https://raw.githubusercontent.com/marcelo-pascoal/Semaforos/refs/heads/main/fotosD/",Tabela1[[#This Row],[Foto1]])</f>
        <v>https://raw.githubusercontent.com/marcelo-pascoal/Semaforos/refs/heads/main/fotosD/DSCF6951.JPG</v>
      </c>
      <c r="AD29" s="3" t="str">
        <f>_xlfn.CONCAT("https://raw.githubusercontent.com/marcelo-pascoal/Semaforos/refs/heads/main/fotos/",Tabela1[[#This Row],[id_0]],".jpg")</f>
        <v>https://raw.githubusercontent.com/marcelo-pascoal/Semaforos/refs/heads/main/fotos/438.jpg</v>
      </c>
      <c r="AE29" s="3" t="str">
        <f>_xlfn.CONCAT("https://raw.githubusercontent.com/marcelo-pascoal/Semaforos/refs/heads/main/fotosD/",Tabela1[[#This Row],[id_0]],".jpg")</f>
        <v>https://raw.githubusercontent.com/marcelo-pascoal/Semaforos/refs/heads/main/fotosD/438.jpg</v>
      </c>
      <c r="AF29" s="3">
        <v>2</v>
      </c>
    </row>
    <row r="30" spans="1:32" ht="250" customHeight="1" x14ac:dyDescent="0.35">
      <c r="A30" s="2" t="s">
        <v>95</v>
      </c>
      <c r="B30" s="5">
        <v>439</v>
      </c>
      <c r="C30" s="2" t="s">
        <v>121</v>
      </c>
      <c r="D30" s="1" t="s">
        <v>60</v>
      </c>
      <c r="E30" s="2" t="s">
        <v>1147</v>
      </c>
      <c r="F30" s="2" t="s">
        <v>123</v>
      </c>
      <c r="G30" s="1" t="s">
        <v>1145</v>
      </c>
      <c r="H30" s="1" t="s">
        <v>1146</v>
      </c>
      <c r="I30" s="1" t="s">
        <v>122</v>
      </c>
      <c r="J30" s="2" t="s">
        <v>109</v>
      </c>
      <c r="K30" s="2" t="s">
        <v>34</v>
      </c>
      <c r="L30" s="3"/>
      <c r="M30" s="3"/>
      <c r="N30" s="3"/>
      <c r="O30" s="3">
        <v>2</v>
      </c>
      <c r="P30" s="3">
        <v>2</v>
      </c>
      <c r="Q30" s="3">
        <v>2</v>
      </c>
      <c r="R30" s="3"/>
      <c r="S30" s="3"/>
      <c r="T30" s="3"/>
      <c r="U30" s="3"/>
      <c r="V30" s="3"/>
      <c r="W30" s="3" t="s">
        <v>40</v>
      </c>
      <c r="X30" s="3"/>
      <c r="Y30" s="3"/>
      <c r="Z30" s="3"/>
      <c r="AA30" s="3" t="s">
        <v>35</v>
      </c>
      <c r="AB30" s="6" t="str">
        <f>HYPERLINK(_xlfn.CONCAT("https://www.google.com/maps/search/",Tabela1[[#This Row],[GPS]]),"##")</f>
        <v>##</v>
      </c>
      <c r="AC30" s="3" t="str">
        <f>_xlfn.CONCAT("https://raw.githubusercontent.com/marcelo-pascoal/Semaforos/refs/heads/main/fotosD/",Tabela1[[#This Row],[Foto1]])</f>
        <v>https://raw.githubusercontent.com/marcelo-pascoal/Semaforos/refs/heads/main/fotosD/DSCF6944_1.JPG</v>
      </c>
      <c r="AD30" s="3" t="str">
        <f>_xlfn.CONCAT("https://raw.githubusercontent.com/marcelo-pascoal/Semaforos/refs/heads/main/fotos/",Tabela1[[#This Row],[id_0]],".jpg")</f>
        <v>https://raw.githubusercontent.com/marcelo-pascoal/Semaforos/refs/heads/main/fotos/439.jpg</v>
      </c>
      <c r="AE30" s="3" t="str">
        <f>_xlfn.CONCAT("https://raw.githubusercontent.com/marcelo-pascoal/Semaforos/refs/heads/main/fotosD/",Tabela1[[#This Row],[id_0]],".jpg")</f>
        <v>https://raw.githubusercontent.com/marcelo-pascoal/Semaforos/refs/heads/main/fotosD/439.jpg</v>
      </c>
      <c r="AF30" s="3">
        <v>2</v>
      </c>
    </row>
    <row r="31" spans="1:32" ht="250" customHeight="1" x14ac:dyDescent="0.35">
      <c r="A31" s="2" t="s">
        <v>95</v>
      </c>
      <c r="B31" s="5">
        <v>440</v>
      </c>
      <c r="C31" s="2" t="s">
        <v>124</v>
      </c>
      <c r="D31" s="1" t="s">
        <v>38</v>
      </c>
      <c r="E31" s="2" t="s">
        <v>1147</v>
      </c>
      <c r="F31" s="2" t="s">
        <v>126</v>
      </c>
      <c r="G31" s="1" t="s">
        <v>1144</v>
      </c>
      <c r="H31" s="1" t="s">
        <v>1146</v>
      </c>
      <c r="I31" s="1" t="s">
        <v>125</v>
      </c>
      <c r="J31" s="2" t="s">
        <v>109</v>
      </c>
      <c r="K31" s="2" t="s">
        <v>34</v>
      </c>
      <c r="L31" s="3"/>
      <c r="M31" s="3"/>
      <c r="N31" s="3"/>
      <c r="O31" s="3"/>
      <c r="P31" s="3"/>
      <c r="Q31" s="3"/>
      <c r="R31" s="3"/>
      <c r="S31" s="3"/>
      <c r="T31" s="3"/>
      <c r="U31" s="3">
        <v>1</v>
      </c>
      <c r="V31" s="3">
        <v>1</v>
      </c>
      <c r="W31" s="3" t="s">
        <v>40</v>
      </c>
      <c r="X31" s="3"/>
      <c r="Y31" s="3"/>
      <c r="Z31" s="3" t="s">
        <v>40</v>
      </c>
      <c r="AA31" s="3" t="s">
        <v>35</v>
      </c>
      <c r="AB31" s="6" t="str">
        <f>HYPERLINK(_xlfn.CONCAT("https://www.google.com/maps/search/",Tabela1[[#This Row],[GPS]]),"##")</f>
        <v>##</v>
      </c>
      <c r="AC31" s="3" t="str">
        <f>_xlfn.CONCAT("https://raw.githubusercontent.com/marcelo-pascoal/Semaforos/refs/heads/main/fotosD/",Tabela1[[#This Row],[Foto1]])</f>
        <v>https://raw.githubusercontent.com/marcelo-pascoal/Semaforos/refs/heads/main/fotosD/DSCF6947.JPG</v>
      </c>
      <c r="AD31" s="3" t="str">
        <f>_xlfn.CONCAT("https://raw.githubusercontent.com/marcelo-pascoal/Semaforos/refs/heads/main/fotos/",Tabela1[[#This Row],[id_0]],".jpg")</f>
        <v>https://raw.githubusercontent.com/marcelo-pascoal/Semaforos/refs/heads/main/fotos/440.jpg</v>
      </c>
      <c r="AE31" s="3" t="str">
        <f>_xlfn.CONCAT("https://raw.githubusercontent.com/marcelo-pascoal/Semaforos/refs/heads/main/fotosD/",Tabela1[[#This Row],[id_0]],".jpg")</f>
        <v>https://raw.githubusercontent.com/marcelo-pascoal/Semaforos/refs/heads/main/fotosD/440.jpg</v>
      </c>
      <c r="AF31" s="3">
        <v>2</v>
      </c>
    </row>
    <row r="32" spans="1:32" ht="250" customHeight="1" x14ac:dyDescent="0.35">
      <c r="A32" s="2" t="s">
        <v>95</v>
      </c>
      <c r="B32" s="5">
        <v>551</v>
      </c>
      <c r="C32" s="2" t="s">
        <v>127</v>
      </c>
      <c r="D32" s="1" t="s">
        <v>38</v>
      </c>
      <c r="F32" s="2" t="s">
        <v>129</v>
      </c>
      <c r="G32" s="1" t="s">
        <v>1144</v>
      </c>
      <c r="H32" s="1" t="s">
        <v>1146</v>
      </c>
      <c r="I32" s="1" t="s">
        <v>128</v>
      </c>
      <c r="J32" s="2" t="s">
        <v>98</v>
      </c>
      <c r="K32" s="2" t="s">
        <v>34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 t="s">
        <v>40</v>
      </c>
      <c r="X32" s="3"/>
      <c r="Y32" s="3"/>
      <c r="Z32" s="3" t="s">
        <v>40</v>
      </c>
      <c r="AA32" s="3" t="s">
        <v>35</v>
      </c>
      <c r="AB32" s="6" t="str">
        <f>HYPERLINK(_xlfn.CONCAT("https://www.google.com/maps/search/",Tabela1[[#This Row],[GPS]]),"##")</f>
        <v>##</v>
      </c>
      <c r="AC32" s="3" t="str">
        <f>_xlfn.CONCAT("https://raw.githubusercontent.com/marcelo-pascoal/Semaforos/refs/heads/main/fotosD/",Tabela1[[#This Row],[Foto1]])</f>
        <v>https://raw.githubusercontent.com/marcelo-pascoal/Semaforos/refs/heads/main/fotosD/DSCF6941.JPG</v>
      </c>
      <c r="AD32" s="3" t="str">
        <f>_xlfn.CONCAT("https://raw.githubusercontent.com/marcelo-pascoal/Semaforos/refs/heads/main/fotos/",Tabela1[[#This Row],[id_0]],".jpg")</f>
        <v>https://raw.githubusercontent.com/marcelo-pascoal/Semaforos/refs/heads/main/fotos/551.jpg</v>
      </c>
      <c r="AE32" s="3" t="str">
        <f>_xlfn.CONCAT("https://raw.githubusercontent.com/marcelo-pascoal/Semaforos/refs/heads/main/fotosD/",Tabela1[[#This Row],[id_0]],".jpg")</f>
        <v>https://raw.githubusercontent.com/marcelo-pascoal/Semaforos/refs/heads/main/fotosD/551.jpg</v>
      </c>
      <c r="AF32" s="3">
        <v>2</v>
      </c>
    </row>
    <row r="33" spans="1:32" ht="250" customHeight="1" x14ac:dyDescent="0.35">
      <c r="A33" s="2" t="s">
        <v>130</v>
      </c>
      <c r="B33" s="5">
        <v>289</v>
      </c>
      <c r="C33" s="2" t="s">
        <v>131</v>
      </c>
      <c r="D33" s="1" t="s">
        <v>60</v>
      </c>
      <c r="F33" s="2" t="s">
        <v>134</v>
      </c>
      <c r="G33" s="1" t="s">
        <v>1145</v>
      </c>
      <c r="H33" s="1" t="s">
        <v>1146</v>
      </c>
      <c r="I33" s="1" t="s">
        <v>132</v>
      </c>
      <c r="J33" s="2" t="s">
        <v>133</v>
      </c>
      <c r="K33" s="2" t="s">
        <v>34</v>
      </c>
      <c r="L33" s="3"/>
      <c r="M33" s="3"/>
      <c r="N33" s="3"/>
      <c r="O33" s="3">
        <v>2</v>
      </c>
      <c r="P33" s="3">
        <v>3</v>
      </c>
      <c r="Q33" s="3">
        <v>2</v>
      </c>
      <c r="R33" s="3"/>
      <c r="S33" s="3"/>
      <c r="T33" s="3"/>
      <c r="U33" s="3">
        <v>2</v>
      </c>
      <c r="V33" s="3">
        <v>2</v>
      </c>
      <c r="W33" s="3" t="s">
        <v>40</v>
      </c>
      <c r="X33" s="3" t="s">
        <v>40</v>
      </c>
      <c r="Y33" s="3"/>
      <c r="Z33" s="3"/>
      <c r="AA33" s="3" t="s">
        <v>35</v>
      </c>
      <c r="AB33" s="6" t="str">
        <f>HYPERLINK(_xlfn.CONCAT("https://www.google.com/maps/search/",Tabela1[[#This Row],[GPS]]),"##")</f>
        <v>##</v>
      </c>
      <c r="AC33" s="3" t="str">
        <f>_xlfn.CONCAT("https://raw.githubusercontent.com/marcelo-pascoal/Semaforos/refs/heads/main/fotosD/",Tabela1[[#This Row],[Foto1]])</f>
        <v>https://raw.githubusercontent.com/marcelo-pascoal/Semaforos/refs/heads/main/fotosD/DSCF6976.JPG</v>
      </c>
      <c r="AD33" s="3" t="str">
        <f>_xlfn.CONCAT("https://raw.githubusercontent.com/marcelo-pascoal/Semaforos/refs/heads/main/fotos/",Tabela1[[#This Row],[id_0]],".jpg")</f>
        <v>https://raw.githubusercontent.com/marcelo-pascoal/Semaforos/refs/heads/main/fotos/289.jpg</v>
      </c>
      <c r="AE33" s="3" t="str">
        <f>_xlfn.CONCAT("https://raw.githubusercontent.com/marcelo-pascoal/Semaforos/refs/heads/main/fotosD/",Tabela1[[#This Row],[id_0]],".jpg")</f>
        <v>https://raw.githubusercontent.com/marcelo-pascoal/Semaforos/refs/heads/main/fotosD/289.jpg</v>
      </c>
      <c r="AF33" s="3">
        <v>2</v>
      </c>
    </row>
    <row r="34" spans="1:32" ht="250" customHeight="1" x14ac:dyDescent="0.35">
      <c r="A34" s="2" t="s">
        <v>130</v>
      </c>
      <c r="B34" s="5">
        <v>291</v>
      </c>
      <c r="C34" s="2" t="s">
        <v>135</v>
      </c>
      <c r="D34" s="1" t="s">
        <v>38</v>
      </c>
      <c r="F34" s="2" t="s">
        <v>137</v>
      </c>
      <c r="G34" s="1" t="s">
        <v>1144</v>
      </c>
      <c r="H34" s="1" t="s">
        <v>1146</v>
      </c>
      <c r="I34" s="1" t="s">
        <v>136</v>
      </c>
      <c r="J34" s="2" t="s">
        <v>133</v>
      </c>
      <c r="K34" s="2" t="s">
        <v>34</v>
      </c>
      <c r="L34" s="3"/>
      <c r="M34" s="3"/>
      <c r="N34" s="3"/>
      <c r="O34" s="3">
        <v>1</v>
      </c>
      <c r="P34" s="3">
        <v>2</v>
      </c>
      <c r="Q34" s="3">
        <v>1</v>
      </c>
      <c r="R34" s="3"/>
      <c r="S34" s="3"/>
      <c r="T34" s="3"/>
      <c r="U34" s="3"/>
      <c r="V34" s="3"/>
      <c r="W34" s="3"/>
      <c r="X34" s="3"/>
      <c r="Y34" s="3"/>
      <c r="Z34" s="3"/>
      <c r="AA34" s="3" t="s">
        <v>35</v>
      </c>
      <c r="AB34" s="6" t="str">
        <f>HYPERLINK(_xlfn.CONCAT("https://www.google.com/maps/search/",Tabela1[[#This Row],[GPS]]),"##")</f>
        <v>##</v>
      </c>
      <c r="AC34" s="3" t="str">
        <f>_xlfn.CONCAT("https://raw.githubusercontent.com/marcelo-pascoal/Semaforos/refs/heads/main/fotosD/",Tabela1[[#This Row],[Foto1]])</f>
        <v>https://raw.githubusercontent.com/marcelo-pascoal/Semaforos/refs/heads/main/fotosD/DSCF6969.JPG</v>
      </c>
      <c r="AD34" s="3" t="str">
        <f>_xlfn.CONCAT("https://raw.githubusercontent.com/marcelo-pascoal/Semaforos/refs/heads/main/fotos/",Tabela1[[#This Row],[id_0]],".jpg")</f>
        <v>https://raw.githubusercontent.com/marcelo-pascoal/Semaforos/refs/heads/main/fotos/291.jpg</v>
      </c>
      <c r="AE34" s="3" t="str">
        <f>_xlfn.CONCAT("https://raw.githubusercontent.com/marcelo-pascoal/Semaforos/refs/heads/main/fotosD/",Tabela1[[#This Row],[id_0]],".jpg")</f>
        <v>https://raw.githubusercontent.com/marcelo-pascoal/Semaforos/refs/heads/main/fotosD/291.jpg</v>
      </c>
      <c r="AF34" s="3">
        <v>2</v>
      </c>
    </row>
    <row r="35" spans="1:32" ht="250" customHeight="1" x14ac:dyDescent="0.35">
      <c r="A35" s="2" t="s">
        <v>130</v>
      </c>
      <c r="B35" s="5">
        <v>292</v>
      </c>
      <c r="C35" s="2" t="s">
        <v>138</v>
      </c>
      <c r="D35" s="1" t="s">
        <v>38</v>
      </c>
      <c r="F35" s="2" t="s">
        <v>140</v>
      </c>
      <c r="G35" s="1" t="s">
        <v>1144</v>
      </c>
      <c r="H35" s="1" t="s">
        <v>1146</v>
      </c>
      <c r="I35" s="1" t="s">
        <v>139</v>
      </c>
      <c r="J35" s="2" t="s">
        <v>133</v>
      </c>
      <c r="K35" s="2" t="s">
        <v>34</v>
      </c>
      <c r="L35" s="3"/>
      <c r="M35" s="3"/>
      <c r="N35" s="3"/>
      <c r="O35" s="3">
        <v>1</v>
      </c>
      <c r="P35" s="3">
        <v>1</v>
      </c>
      <c r="Q35" s="3">
        <v>1</v>
      </c>
      <c r="R35" s="3"/>
      <c r="S35" s="3"/>
      <c r="T35" s="3"/>
      <c r="U35" s="3"/>
      <c r="V35" s="3"/>
      <c r="W35" s="3"/>
      <c r="X35" s="3"/>
      <c r="Y35" s="3"/>
      <c r="Z35" s="3"/>
      <c r="AA35" s="3" t="s">
        <v>35</v>
      </c>
      <c r="AB35" s="6" t="str">
        <f>HYPERLINK(_xlfn.CONCAT("https://www.google.com/maps/search/",Tabela1[[#This Row],[GPS]]),"##")</f>
        <v>##</v>
      </c>
      <c r="AC35" s="3" t="str">
        <f>_xlfn.CONCAT("https://raw.githubusercontent.com/marcelo-pascoal/Semaforos/refs/heads/main/fotosD/",Tabela1[[#This Row],[Foto1]])</f>
        <v>https://raw.githubusercontent.com/marcelo-pascoal/Semaforos/refs/heads/main/fotosD/DSCF6968.JPG</v>
      </c>
      <c r="AD35" s="3" t="str">
        <f>_xlfn.CONCAT("https://raw.githubusercontent.com/marcelo-pascoal/Semaforos/refs/heads/main/fotos/",Tabela1[[#This Row],[id_0]],".jpg")</f>
        <v>https://raw.githubusercontent.com/marcelo-pascoal/Semaforos/refs/heads/main/fotos/292.jpg</v>
      </c>
      <c r="AE35" s="3" t="str">
        <f>_xlfn.CONCAT("https://raw.githubusercontent.com/marcelo-pascoal/Semaforos/refs/heads/main/fotosD/",Tabela1[[#This Row],[id_0]],".jpg")</f>
        <v>https://raw.githubusercontent.com/marcelo-pascoal/Semaforos/refs/heads/main/fotosD/292.jpg</v>
      </c>
      <c r="AF35" s="3">
        <v>2</v>
      </c>
    </row>
    <row r="36" spans="1:32" ht="250" customHeight="1" x14ac:dyDescent="0.35">
      <c r="A36" s="2" t="s">
        <v>130</v>
      </c>
      <c r="B36" s="5">
        <v>293</v>
      </c>
      <c r="C36" s="2" t="s">
        <v>141</v>
      </c>
      <c r="D36" s="1" t="s">
        <v>38</v>
      </c>
      <c r="F36" s="2" t="s">
        <v>143</v>
      </c>
      <c r="G36" s="1" t="s">
        <v>1144</v>
      </c>
      <c r="H36" s="1" t="s">
        <v>1146</v>
      </c>
      <c r="I36" s="1" t="s">
        <v>142</v>
      </c>
      <c r="J36" s="2" t="s">
        <v>133</v>
      </c>
      <c r="K36" s="2" t="s">
        <v>34</v>
      </c>
      <c r="L36" s="3"/>
      <c r="M36" s="3"/>
      <c r="N36" s="3"/>
      <c r="O36" s="3">
        <v>1</v>
      </c>
      <c r="P36" s="3">
        <v>2</v>
      </c>
      <c r="Q36" s="3">
        <v>1</v>
      </c>
      <c r="R36" s="3"/>
      <c r="S36" s="3"/>
      <c r="T36" s="3"/>
      <c r="U36" s="3"/>
      <c r="V36" s="3"/>
      <c r="W36" s="3"/>
      <c r="X36" s="3"/>
      <c r="Y36" s="3"/>
      <c r="Z36" s="3"/>
      <c r="AA36" s="3" t="s">
        <v>35</v>
      </c>
      <c r="AB36" s="6" t="str">
        <f>HYPERLINK(_xlfn.CONCAT("https://www.google.com/maps/search/",Tabela1[[#This Row],[GPS]]),"##")</f>
        <v>##</v>
      </c>
      <c r="AC36" s="3" t="str">
        <f>_xlfn.CONCAT("https://raw.githubusercontent.com/marcelo-pascoal/Semaforos/refs/heads/main/fotosD/",Tabela1[[#This Row],[Foto1]])</f>
        <v>https://raw.githubusercontent.com/marcelo-pascoal/Semaforos/refs/heads/main/fotosD/DSCF6966.JPG</v>
      </c>
      <c r="AD36" s="3" t="str">
        <f>_xlfn.CONCAT("https://raw.githubusercontent.com/marcelo-pascoal/Semaforos/refs/heads/main/fotos/",Tabela1[[#This Row],[id_0]],".jpg")</f>
        <v>https://raw.githubusercontent.com/marcelo-pascoal/Semaforos/refs/heads/main/fotos/293.jpg</v>
      </c>
      <c r="AE36" s="3" t="str">
        <f>_xlfn.CONCAT("https://raw.githubusercontent.com/marcelo-pascoal/Semaforos/refs/heads/main/fotosD/",Tabela1[[#This Row],[id_0]],".jpg")</f>
        <v>https://raw.githubusercontent.com/marcelo-pascoal/Semaforos/refs/heads/main/fotosD/293.jpg</v>
      </c>
      <c r="AF36" s="3">
        <v>2</v>
      </c>
    </row>
    <row r="37" spans="1:32" ht="250" customHeight="1" x14ac:dyDescent="0.35">
      <c r="A37" s="2" t="s">
        <v>130</v>
      </c>
      <c r="B37" s="5">
        <v>294</v>
      </c>
      <c r="C37" s="2" t="s">
        <v>144</v>
      </c>
      <c r="D37" s="1" t="s">
        <v>38</v>
      </c>
      <c r="F37" s="2" t="s">
        <v>146</v>
      </c>
      <c r="G37" s="1" t="s">
        <v>1144</v>
      </c>
      <c r="H37" s="1" t="s">
        <v>1146</v>
      </c>
      <c r="I37" s="1" t="s">
        <v>145</v>
      </c>
      <c r="J37" s="2" t="s">
        <v>133</v>
      </c>
      <c r="K37" s="2" t="s">
        <v>34</v>
      </c>
      <c r="L37" s="3"/>
      <c r="M37" s="3"/>
      <c r="N37" s="3"/>
      <c r="O37" s="3">
        <v>1</v>
      </c>
      <c r="P37" s="3">
        <v>1</v>
      </c>
      <c r="Q37" s="3">
        <v>1</v>
      </c>
      <c r="R37" s="3"/>
      <c r="S37" s="3"/>
      <c r="T37" s="3"/>
      <c r="U37" s="3">
        <v>1</v>
      </c>
      <c r="V37" s="3">
        <v>1</v>
      </c>
      <c r="W37" s="3"/>
      <c r="X37" s="3"/>
      <c r="Y37" s="3"/>
      <c r="Z37" s="3"/>
      <c r="AA37" s="3" t="s">
        <v>35</v>
      </c>
      <c r="AB37" s="6" t="str">
        <f>HYPERLINK(_xlfn.CONCAT("https://www.google.com/maps/search/",Tabela1[[#This Row],[GPS]]),"##")</f>
        <v>##</v>
      </c>
      <c r="AC37" s="3" t="str">
        <f>_xlfn.CONCAT("https://raw.githubusercontent.com/marcelo-pascoal/Semaforos/refs/heads/main/fotosD/",Tabela1[[#This Row],[Foto1]])</f>
        <v>https://raw.githubusercontent.com/marcelo-pascoal/Semaforos/refs/heads/main/fotosD/DSCF6965.JPG</v>
      </c>
      <c r="AD37" s="3" t="str">
        <f>_xlfn.CONCAT("https://raw.githubusercontent.com/marcelo-pascoal/Semaforos/refs/heads/main/fotos/",Tabela1[[#This Row],[id_0]],".jpg")</f>
        <v>https://raw.githubusercontent.com/marcelo-pascoal/Semaforos/refs/heads/main/fotos/294.jpg</v>
      </c>
      <c r="AE37" s="3" t="str">
        <f>_xlfn.CONCAT("https://raw.githubusercontent.com/marcelo-pascoal/Semaforos/refs/heads/main/fotosD/",Tabela1[[#This Row],[id_0]],".jpg")</f>
        <v>https://raw.githubusercontent.com/marcelo-pascoal/Semaforos/refs/heads/main/fotosD/294.jpg</v>
      </c>
      <c r="AF37" s="3">
        <v>2</v>
      </c>
    </row>
    <row r="38" spans="1:32" ht="250" customHeight="1" x14ac:dyDescent="0.35">
      <c r="A38" s="2" t="s">
        <v>130</v>
      </c>
      <c r="B38" s="5">
        <v>295</v>
      </c>
      <c r="C38" s="2" t="s">
        <v>147</v>
      </c>
      <c r="D38" s="1" t="s">
        <v>38</v>
      </c>
      <c r="F38" s="2" t="s">
        <v>150</v>
      </c>
      <c r="G38" s="1" t="s">
        <v>1144</v>
      </c>
      <c r="H38" s="1" t="s">
        <v>1146</v>
      </c>
      <c r="I38" s="1" t="s">
        <v>148</v>
      </c>
      <c r="J38" s="2" t="s">
        <v>149</v>
      </c>
      <c r="K38" s="2" t="s">
        <v>34</v>
      </c>
      <c r="L38" s="3"/>
      <c r="M38" s="3"/>
      <c r="N38" s="3"/>
      <c r="O38" s="3">
        <v>1</v>
      </c>
      <c r="P38" s="3">
        <v>1</v>
      </c>
      <c r="Q38" s="3">
        <v>1</v>
      </c>
      <c r="R38" s="3"/>
      <c r="S38" s="3"/>
      <c r="T38" s="3"/>
      <c r="U38" s="3"/>
      <c r="V38" s="3"/>
      <c r="W38" s="3" t="s">
        <v>40</v>
      </c>
      <c r="X38" s="3"/>
      <c r="Y38" s="3"/>
      <c r="Z38" s="3"/>
      <c r="AA38" s="3" t="s">
        <v>35</v>
      </c>
      <c r="AB38" s="6" t="str">
        <f>HYPERLINK(_xlfn.CONCAT("https://www.google.com/maps/search/",Tabela1[[#This Row],[GPS]]),"##")</f>
        <v>##</v>
      </c>
      <c r="AC38" s="3" t="str">
        <f>_xlfn.CONCAT("https://raw.githubusercontent.com/marcelo-pascoal/Semaforos/refs/heads/main/fotosD/",Tabela1[[#This Row],[Foto1]])</f>
        <v>https://raw.githubusercontent.com/marcelo-pascoal/Semaforos/refs/heads/main/fotosD/DSCF6962.JPG</v>
      </c>
      <c r="AD38" s="3" t="str">
        <f>_xlfn.CONCAT("https://raw.githubusercontent.com/marcelo-pascoal/Semaforos/refs/heads/main/fotos/",Tabela1[[#This Row],[id_0]],".jpg")</f>
        <v>https://raw.githubusercontent.com/marcelo-pascoal/Semaforos/refs/heads/main/fotos/295.jpg</v>
      </c>
      <c r="AE38" s="3" t="str">
        <f>_xlfn.CONCAT("https://raw.githubusercontent.com/marcelo-pascoal/Semaforos/refs/heads/main/fotosD/",Tabela1[[#This Row],[id_0]],".jpg")</f>
        <v>https://raw.githubusercontent.com/marcelo-pascoal/Semaforos/refs/heads/main/fotosD/295.jpg</v>
      </c>
      <c r="AF38" s="3">
        <v>2</v>
      </c>
    </row>
    <row r="39" spans="1:32" ht="250" customHeight="1" x14ac:dyDescent="0.35">
      <c r="A39" s="2" t="s">
        <v>130</v>
      </c>
      <c r="B39" s="5">
        <v>296</v>
      </c>
      <c r="C39" s="2" t="s">
        <v>151</v>
      </c>
      <c r="D39" s="1" t="s">
        <v>38</v>
      </c>
      <c r="F39" s="2" t="s">
        <v>153</v>
      </c>
      <c r="G39" s="1" t="s">
        <v>1144</v>
      </c>
      <c r="H39" s="1" t="s">
        <v>1146</v>
      </c>
      <c r="I39" s="1" t="s">
        <v>152</v>
      </c>
      <c r="J39" s="2" t="s">
        <v>149</v>
      </c>
      <c r="K39" s="2" t="s">
        <v>34</v>
      </c>
      <c r="L39" s="3"/>
      <c r="M39" s="3"/>
      <c r="N39" s="3"/>
      <c r="O39" s="3">
        <v>1</v>
      </c>
      <c r="P39" s="3">
        <v>1</v>
      </c>
      <c r="Q39" s="3">
        <v>1</v>
      </c>
      <c r="R39" s="3"/>
      <c r="S39" s="3"/>
      <c r="T39" s="3"/>
      <c r="U39" s="3">
        <v>1</v>
      </c>
      <c r="V39" s="3">
        <v>1</v>
      </c>
      <c r="W39" s="3" t="s">
        <v>40</v>
      </c>
      <c r="X39" s="3"/>
      <c r="Y39" s="3"/>
      <c r="Z39" s="3"/>
      <c r="AA39" s="3" t="s">
        <v>35</v>
      </c>
      <c r="AB39" s="6" t="str">
        <f>HYPERLINK(_xlfn.CONCAT("https://www.google.com/maps/search/",Tabela1[[#This Row],[GPS]]),"##")</f>
        <v>##</v>
      </c>
      <c r="AC39" s="3" t="str">
        <f>_xlfn.CONCAT("https://raw.githubusercontent.com/marcelo-pascoal/Semaforos/refs/heads/main/fotosD/",Tabela1[[#This Row],[Foto1]])</f>
        <v>https://raw.githubusercontent.com/marcelo-pascoal/Semaforos/refs/heads/main/fotosD/DSCF6961.JPG</v>
      </c>
      <c r="AD39" s="3" t="str">
        <f>_xlfn.CONCAT("https://raw.githubusercontent.com/marcelo-pascoal/Semaforos/refs/heads/main/fotos/",Tabela1[[#This Row],[id_0]],".jpg")</f>
        <v>https://raw.githubusercontent.com/marcelo-pascoal/Semaforos/refs/heads/main/fotos/296.jpg</v>
      </c>
      <c r="AE39" s="3" t="str">
        <f>_xlfn.CONCAT("https://raw.githubusercontent.com/marcelo-pascoal/Semaforos/refs/heads/main/fotosD/",Tabela1[[#This Row],[id_0]],".jpg")</f>
        <v>https://raw.githubusercontent.com/marcelo-pascoal/Semaforos/refs/heads/main/fotosD/296.jpg</v>
      </c>
      <c r="AF39" s="3">
        <v>2</v>
      </c>
    </row>
    <row r="40" spans="1:32" ht="250" customHeight="1" x14ac:dyDescent="0.35">
      <c r="A40" s="2" t="s">
        <v>130</v>
      </c>
      <c r="B40" s="5">
        <v>297</v>
      </c>
      <c r="C40" s="2" t="s">
        <v>154</v>
      </c>
      <c r="D40" s="1" t="s">
        <v>38</v>
      </c>
      <c r="F40" s="2" t="s">
        <v>157</v>
      </c>
      <c r="G40" s="1" t="s">
        <v>1144</v>
      </c>
      <c r="H40" s="1" t="s">
        <v>1146</v>
      </c>
      <c r="I40" s="1" t="s">
        <v>155</v>
      </c>
      <c r="J40" s="2" t="s">
        <v>156</v>
      </c>
      <c r="K40" s="2" t="s">
        <v>34</v>
      </c>
      <c r="L40" s="3"/>
      <c r="M40" s="3"/>
      <c r="N40" s="3"/>
      <c r="O40" s="3">
        <v>1</v>
      </c>
      <c r="P40" s="3">
        <v>1</v>
      </c>
      <c r="Q40" s="3"/>
      <c r="R40" s="3">
        <v>1</v>
      </c>
      <c r="S40" s="3">
        <v>1</v>
      </c>
      <c r="T40" s="3">
        <v>1</v>
      </c>
      <c r="U40" s="3">
        <v>1</v>
      </c>
      <c r="V40" s="3">
        <v>1</v>
      </c>
      <c r="W40" s="3" t="s">
        <v>40</v>
      </c>
      <c r="X40" s="3"/>
      <c r="Y40" s="3"/>
      <c r="Z40" s="3"/>
      <c r="AA40" s="3" t="s">
        <v>35</v>
      </c>
      <c r="AB40" s="6" t="str">
        <f>HYPERLINK(_xlfn.CONCAT("https://www.google.com/maps/search/",Tabela1[[#This Row],[GPS]]),"##")</f>
        <v>##</v>
      </c>
      <c r="AC40" s="3" t="str">
        <f>_xlfn.CONCAT("https://raw.githubusercontent.com/marcelo-pascoal/Semaforos/refs/heads/main/fotosD/",Tabela1[[#This Row],[Foto1]])</f>
        <v>https://raw.githubusercontent.com/marcelo-pascoal/Semaforos/refs/heads/main/fotosD/DSCF6954.JPG</v>
      </c>
      <c r="AD40" s="3" t="str">
        <f>_xlfn.CONCAT("https://raw.githubusercontent.com/marcelo-pascoal/Semaforos/refs/heads/main/fotos/",Tabela1[[#This Row],[id_0]],".jpg")</f>
        <v>https://raw.githubusercontent.com/marcelo-pascoal/Semaforos/refs/heads/main/fotos/297.jpg</v>
      </c>
      <c r="AE40" s="3" t="str">
        <f>_xlfn.CONCAT("https://raw.githubusercontent.com/marcelo-pascoal/Semaforos/refs/heads/main/fotosD/",Tabela1[[#This Row],[id_0]],".jpg")</f>
        <v>https://raw.githubusercontent.com/marcelo-pascoal/Semaforos/refs/heads/main/fotosD/297.jpg</v>
      </c>
      <c r="AF40" s="3">
        <v>2</v>
      </c>
    </row>
    <row r="41" spans="1:32" ht="250" customHeight="1" x14ac:dyDescent="0.35">
      <c r="A41" s="2" t="s">
        <v>130</v>
      </c>
      <c r="B41" s="5">
        <v>298</v>
      </c>
      <c r="C41" s="2" t="s">
        <v>158</v>
      </c>
      <c r="D41" s="1" t="s">
        <v>60</v>
      </c>
      <c r="F41" s="2" t="s">
        <v>160</v>
      </c>
      <c r="G41" s="1" t="s">
        <v>1145</v>
      </c>
      <c r="H41" s="1" t="s">
        <v>1146</v>
      </c>
      <c r="I41" s="1" t="s">
        <v>159</v>
      </c>
      <c r="J41" s="2" t="s">
        <v>133</v>
      </c>
      <c r="K41" s="2" t="s">
        <v>34</v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 t="s">
        <v>40</v>
      </c>
      <c r="X41" s="3" t="s">
        <v>40</v>
      </c>
      <c r="Y41" s="3"/>
      <c r="Z41" s="3"/>
      <c r="AA41" s="3" t="s">
        <v>35</v>
      </c>
      <c r="AB41" s="6" t="str">
        <f>HYPERLINK(_xlfn.CONCAT("https://www.google.com/maps/search/",Tabela1[[#This Row],[GPS]]),"##")</f>
        <v>##</v>
      </c>
      <c r="AC41" s="3" t="str">
        <f>_xlfn.CONCAT("https://raw.githubusercontent.com/marcelo-pascoal/Semaforos/refs/heads/main/fotosD/",Tabela1[[#This Row],[Foto1]])</f>
        <v>https://raw.githubusercontent.com/marcelo-pascoal/Semaforos/refs/heads/main/fotosD/DSCF6958.JPG</v>
      </c>
      <c r="AD41" s="3" t="str">
        <f>_xlfn.CONCAT("https://raw.githubusercontent.com/marcelo-pascoal/Semaforos/refs/heads/main/fotos/",Tabela1[[#This Row],[id_0]],".jpg")</f>
        <v>https://raw.githubusercontent.com/marcelo-pascoal/Semaforos/refs/heads/main/fotos/298.jpg</v>
      </c>
      <c r="AE41" s="3" t="str">
        <f>_xlfn.CONCAT("https://raw.githubusercontent.com/marcelo-pascoal/Semaforos/refs/heads/main/fotosD/",Tabela1[[#This Row],[id_0]],".jpg")</f>
        <v>https://raw.githubusercontent.com/marcelo-pascoal/Semaforos/refs/heads/main/fotosD/298.jpg</v>
      </c>
      <c r="AF41" s="3">
        <v>2</v>
      </c>
    </row>
    <row r="42" spans="1:32" ht="250" customHeight="1" x14ac:dyDescent="0.35">
      <c r="A42" s="2" t="s">
        <v>130</v>
      </c>
      <c r="B42" s="5">
        <v>441</v>
      </c>
      <c r="C42" s="2" t="s">
        <v>161</v>
      </c>
      <c r="D42" s="1" t="s">
        <v>38</v>
      </c>
      <c r="F42" s="2" t="s">
        <v>163</v>
      </c>
      <c r="G42" s="1" t="s">
        <v>1144</v>
      </c>
      <c r="H42" s="1" t="s">
        <v>1146</v>
      </c>
      <c r="I42" s="1" t="s">
        <v>162</v>
      </c>
      <c r="J42" s="2" t="s">
        <v>156</v>
      </c>
      <c r="K42" s="2" t="s">
        <v>34</v>
      </c>
      <c r="L42" s="3"/>
      <c r="M42" s="3"/>
      <c r="N42" s="3"/>
      <c r="O42" s="3"/>
      <c r="P42" s="3">
        <v>2</v>
      </c>
      <c r="Q42" s="3"/>
      <c r="R42" s="3"/>
      <c r="S42" s="3"/>
      <c r="T42" s="3"/>
      <c r="U42" s="3">
        <v>1</v>
      </c>
      <c r="V42" s="3">
        <v>1</v>
      </c>
      <c r="W42" s="3" t="s">
        <v>40</v>
      </c>
      <c r="X42" s="3"/>
      <c r="Y42" s="3"/>
      <c r="Z42" s="3"/>
      <c r="AA42" s="3" t="s">
        <v>35</v>
      </c>
      <c r="AB42" s="6" t="str">
        <f>HYPERLINK(_xlfn.CONCAT("https://www.google.com/maps/search/",Tabela1[[#This Row],[GPS]]),"##")</f>
        <v>##</v>
      </c>
      <c r="AC42" s="3" t="str">
        <f>_xlfn.CONCAT("https://raw.githubusercontent.com/marcelo-pascoal/Semaforos/refs/heads/main/fotosD/",Tabela1[[#This Row],[Foto1]])</f>
        <v>https://raw.githubusercontent.com/marcelo-pascoal/Semaforos/refs/heads/main/fotosD/DSCF6956.JPG</v>
      </c>
      <c r="AD42" s="3" t="str">
        <f>_xlfn.CONCAT("https://raw.githubusercontent.com/marcelo-pascoal/Semaforos/refs/heads/main/fotos/",Tabela1[[#This Row],[id_0]],".jpg")</f>
        <v>https://raw.githubusercontent.com/marcelo-pascoal/Semaforos/refs/heads/main/fotos/441.jpg</v>
      </c>
      <c r="AE42" s="3" t="str">
        <f>_xlfn.CONCAT("https://raw.githubusercontent.com/marcelo-pascoal/Semaforos/refs/heads/main/fotosD/",Tabela1[[#This Row],[id_0]],".jpg")</f>
        <v>https://raw.githubusercontent.com/marcelo-pascoal/Semaforos/refs/heads/main/fotosD/441.jpg</v>
      </c>
      <c r="AF42" s="3">
        <v>2</v>
      </c>
    </row>
    <row r="43" spans="1:32" ht="250" customHeight="1" x14ac:dyDescent="0.35">
      <c r="A43" s="2" t="s">
        <v>130</v>
      </c>
      <c r="B43" s="5">
        <v>442</v>
      </c>
      <c r="C43" s="2" t="s">
        <v>164</v>
      </c>
      <c r="D43" s="1" t="s">
        <v>38</v>
      </c>
      <c r="F43" s="2" t="s">
        <v>166</v>
      </c>
      <c r="G43" s="1" t="s">
        <v>1144</v>
      </c>
      <c r="H43" s="1" t="s">
        <v>1146</v>
      </c>
      <c r="I43" s="1" t="s">
        <v>165</v>
      </c>
      <c r="J43" s="2" t="s">
        <v>133</v>
      </c>
      <c r="K43" s="2" t="s">
        <v>34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40</v>
      </c>
      <c r="X43" s="3" t="s">
        <v>40</v>
      </c>
      <c r="Y43" s="3"/>
      <c r="Z43" s="3"/>
      <c r="AA43" s="3" t="s">
        <v>35</v>
      </c>
      <c r="AB43" s="6" t="str">
        <f>HYPERLINK(_xlfn.CONCAT("https://www.google.com/maps/search/",Tabela1[[#This Row],[GPS]]),"##")</f>
        <v>##</v>
      </c>
      <c r="AC43" s="3" t="str">
        <f>_xlfn.CONCAT("https://raw.githubusercontent.com/marcelo-pascoal/Semaforos/refs/heads/main/fotosD/",Tabela1[[#This Row],[Foto1]])</f>
        <v>https://raw.githubusercontent.com/marcelo-pascoal/Semaforos/refs/heads/main/fotosD/DSCF6959.JPG</v>
      </c>
      <c r="AD43" s="3" t="str">
        <f>_xlfn.CONCAT("https://raw.githubusercontent.com/marcelo-pascoal/Semaforos/refs/heads/main/fotos/",Tabela1[[#This Row],[id_0]],".jpg")</f>
        <v>https://raw.githubusercontent.com/marcelo-pascoal/Semaforos/refs/heads/main/fotos/442.jpg</v>
      </c>
      <c r="AE43" s="3" t="str">
        <f>_xlfn.CONCAT("https://raw.githubusercontent.com/marcelo-pascoal/Semaforos/refs/heads/main/fotosD/",Tabela1[[#This Row],[id_0]],".jpg")</f>
        <v>https://raw.githubusercontent.com/marcelo-pascoal/Semaforos/refs/heads/main/fotosD/442.jpg</v>
      </c>
      <c r="AF43" s="3">
        <v>2</v>
      </c>
    </row>
    <row r="44" spans="1:32" ht="250" customHeight="1" x14ac:dyDescent="0.35">
      <c r="A44" s="2" t="s">
        <v>130</v>
      </c>
      <c r="B44" s="5">
        <v>443</v>
      </c>
      <c r="C44" s="2" t="s">
        <v>167</v>
      </c>
      <c r="D44" s="1" t="s">
        <v>38</v>
      </c>
      <c r="F44" s="2" t="s">
        <v>170</v>
      </c>
      <c r="G44" s="1" t="s">
        <v>1144</v>
      </c>
      <c r="H44" s="1" t="s">
        <v>1146</v>
      </c>
      <c r="I44" s="1" t="s">
        <v>168</v>
      </c>
      <c r="J44" s="2" t="s">
        <v>169</v>
      </c>
      <c r="K44" s="2" t="s">
        <v>34</v>
      </c>
      <c r="L44" s="3"/>
      <c r="M44" s="3"/>
      <c r="N44" s="3"/>
      <c r="O44" s="3"/>
      <c r="P44" s="3">
        <v>2</v>
      </c>
      <c r="Q44" s="3"/>
      <c r="R44" s="3"/>
      <c r="S44" s="3"/>
      <c r="T44" s="3"/>
      <c r="U44" s="3">
        <v>1</v>
      </c>
      <c r="V44" s="3">
        <v>1</v>
      </c>
      <c r="W44" s="3" t="s">
        <v>40</v>
      </c>
      <c r="X44" s="3"/>
      <c r="Y44" s="3"/>
      <c r="Z44" s="3"/>
      <c r="AA44" s="3" t="s">
        <v>35</v>
      </c>
      <c r="AB44" s="6" t="str">
        <f>HYPERLINK(_xlfn.CONCAT("https://www.google.com/maps/search/",Tabela1[[#This Row],[GPS]]),"##")</f>
        <v>##</v>
      </c>
      <c r="AC44" s="3" t="str">
        <f>_xlfn.CONCAT("https://raw.githubusercontent.com/marcelo-pascoal/Semaforos/refs/heads/main/fotosD/",Tabela1[[#This Row],[Foto1]])</f>
        <v>https://raw.githubusercontent.com/marcelo-pascoal/Semaforos/refs/heads/main/fotosD/DSCF6978.JPG</v>
      </c>
      <c r="AD44" s="3" t="str">
        <f>_xlfn.CONCAT("https://raw.githubusercontent.com/marcelo-pascoal/Semaforos/refs/heads/main/fotos/",Tabela1[[#This Row],[id_0]],".jpg")</f>
        <v>https://raw.githubusercontent.com/marcelo-pascoal/Semaforos/refs/heads/main/fotos/443.jpg</v>
      </c>
      <c r="AE44" s="3" t="str">
        <f>_xlfn.CONCAT("https://raw.githubusercontent.com/marcelo-pascoal/Semaforos/refs/heads/main/fotosD/",Tabela1[[#This Row],[id_0]],".jpg")</f>
        <v>https://raw.githubusercontent.com/marcelo-pascoal/Semaforos/refs/heads/main/fotosD/443.jpg</v>
      </c>
      <c r="AF44" s="3">
        <v>2</v>
      </c>
    </row>
    <row r="45" spans="1:32" ht="250" customHeight="1" x14ac:dyDescent="0.35">
      <c r="A45" s="2" t="s">
        <v>130</v>
      </c>
      <c r="B45" s="5">
        <v>623</v>
      </c>
      <c r="C45" s="2" t="s">
        <v>1157</v>
      </c>
      <c r="D45" s="1" t="s">
        <v>38</v>
      </c>
      <c r="E45" s="1"/>
      <c r="G45" s="1" t="s">
        <v>1144</v>
      </c>
      <c r="H45" s="1" t="s">
        <v>1146</v>
      </c>
      <c r="I45" s="1" t="s">
        <v>1158</v>
      </c>
      <c r="J45" s="2" t="s">
        <v>169</v>
      </c>
      <c r="K45" s="2" t="s">
        <v>34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 t="s">
        <v>35</v>
      </c>
      <c r="AB45" s="7" t="str">
        <f>HYPERLINK(_xlfn.CONCAT("https://www.google.com/maps/search/",Tabela1[[#This Row],[GPS]]),"##")</f>
        <v>##</v>
      </c>
      <c r="AC45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45" s="3" t="str">
        <f>_xlfn.CONCAT("https://raw.githubusercontent.com/marcelo-pascoal/Semaforos/refs/heads/main/fotos/",Tabela1[[#This Row],[id_0]],".jpg")</f>
        <v>https://raw.githubusercontent.com/marcelo-pascoal/Semaforos/refs/heads/main/fotos/623.jpg</v>
      </c>
      <c r="AE45" s="3" t="str">
        <f>_xlfn.CONCAT("https://raw.githubusercontent.com/marcelo-pascoal/Semaforos/refs/heads/main/fotosD/",Tabela1[[#This Row],[id_0]],".jpg")</f>
        <v>https://raw.githubusercontent.com/marcelo-pascoal/Semaforos/refs/heads/main/fotosD/623.jpg</v>
      </c>
      <c r="AF45" s="3">
        <v>2</v>
      </c>
    </row>
    <row r="46" spans="1:32" ht="250" customHeight="1" x14ac:dyDescent="0.35">
      <c r="A46" s="2" t="s">
        <v>130</v>
      </c>
      <c r="B46" s="5">
        <v>444</v>
      </c>
      <c r="C46" s="2" t="s">
        <v>171</v>
      </c>
      <c r="D46" s="1" t="s">
        <v>38</v>
      </c>
      <c r="F46" s="2" t="s">
        <v>173</v>
      </c>
      <c r="G46" s="1" t="s">
        <v>1144</v>
      </c>
      <c r="H46" s="1" t="s">
        <v>1146</v>
      </c>
      <c r="I46" s="1" t="s">
        <v>172</v>
      </c>
      <c r="J46" s="2" t="s">
        <v>133</v>
      </c>
      <c r="K46" s="2" t="s">
        <v>34</v>
      </c>
      <c r="L46" s="3"/>
      <c r="M46" s="3"/>
      <c r="N46" s="3"/>
      <c r="O46" s="3"/>
      <c r="P46" s="3"/>
      <c r="Q46" s="3"/>
      <c r="R46" s="3"/>
      <c r="S46" s="3"/>
      <c r="T46" s="3"/>
      <c r="U46" s="3">
        <v>1</v>
      </c>
      <c r="V46" s="3">
        <v>1</v>
      </c>
      <c r="W46" s="3" t="s">
        <v>40</v>
      </c>
      <c r="X46" s="3" t="s">
        <v>40</v>
      </c>
      <c r="Y46" s="3"/>
      <c r="Z46" s="3"/>
      <c r="AA46" s="3" t="s">
        <v>35</v>
      </c>
      <c r="AB46" s="6" t="str">
        <f>HYPERLINK(_xlfn.CONCAT("https://www.google.com/maps/search/",Tabela1[[#This Row],[GPS]]),"##")</f>
        <v>##</v>
      </c>
      <c r="AC46" s="3" t="str">
        <f>_xlfn.CONCAT("https://raw.githubusercontent.com/marcelo-pascoal/Semaforos/refs/heads/main/fotosD/",Tabela1[[#This Row],[Foto1]])</f>
        <v>https://raw.githubusercontent.com/marcelo-pascoal/Semaforos/refs/heads/main/fotosD/DSCF6975.JPG</v>
      </c>
      <c r="AD46" s="3" t="str">
        <f>_xlfn.CONCAT("https://raw.githubusercontent.com/marcelo-pascoal/Semaforos/refs/heads/main/fotos/",Tabela1[[#This Row],[id_0]],".jpg")</f>
        <v>https://raw.githubusercontent.com/marcelo-pascoal/Semaforos/refs/heads/main/fotos/444.jpg</v>
      </c>
      <c r="AE46" s="3" t="str">
        <f>_xlfn.CONCAT("https://raw.githubusercontent.com/marcelo-pascoal/Semaforos/refs/heads/main/fotosD/",Tabela1[[#This Row],[id_0]],".jpg")</f>
        <v>https://raw.githubusercontent.com/marcelo-pascoal/Semaforos/refs/heads/main/fotosD/444.jpg</v>
      </c>
      <c r="AF46" s="3">
        <v>2</v>
      </c>
    </row>
    <row r="47" spans="1:32" ht="250" customHeight="1" x14ac:dyDescent="0.35">
      <c r="A47" s="2" t="s">
        <v>130</v>
      </c>
      <c r="B47" s="5">
        <v>445</v>
      </c>
      <c r="C47" s="2" t="s">
        <v>174</v>
      </c>
      <c r="D47" s="1" t="s">
        <v>38</v>
      </c>
      <c r="F47" s="2" t="s">
        <v>177</v>
      </c>
      <c r="G47" s="1" t="s">
        <v>1144</v>
      </c>
      <c r="H47" s="1" t="s">
        <v>1146</v>
      </c>
      <c r="I47" s="1" t="s">
        <v>175</v>
      </c>
      <c r="J47" s="2" t="s">
        <v>176</v>
      </c>
      <c r="K47" s="2" t="s">
        <v>34</v>
      </c>
      <c r="L47" s="3"/>
      <c r="M47" s="3"/>
      <c r="N47" s="3"/>
      <c r="O47" s="3"/>
      <c r="P47" s="3">
        <v>2</v>
      </c>
      <c r="Q47" s="3"/>
      <c r="R47" s="3"/>
      <c r="S47" s="3">
        <v>1</v>
      </c>
      <c r="T47" s="3">
        <v>1</v>
      </c>
      <c r="U47" s="3"/>
      <c r="V47" s="3"/>
      <c r="W47" s="3" t="s">
        <v>40</v>
      </c>
      <c r="X47" s="3"/>
      <c r="Y47" s="3"/>
      <c r="Z47" s="3"/>
      <c r="AA47" s="3" t="s">
        <v>35</v>
      </c>
      <c r="AB47" s="6" t="str">
        <f>HYPERLINK(_xlfn.CONCAT("https://www.google.com/maps/search/",Tabela1[[#This Row],[GPS]]),"##")</f>
        <v>##</v>
      </c>
      <c r="AC47" s="3" t="str">
        <f>_xlfn.CONCAT("https://raw.githubusercontent.com/marcelo-pascoal/Semaforos/refs/heads/main/fotosD/",Tabela1[[#This Row],[Foto1]])</f>
        <v>https://raw.githubusercontent.com/marcelo-pascoal/Semaforos/refs/heads/main/fotosD/DSCF6973.JPG</v>
      </c>
      <c r="AD47" s="3" t="str">
        <f>_xlfn.CONCAT("https://raw.githubusercontent.com/marcelo-pascoal/Semaforos/refs/heads/main/fotos/",Tabela1[[#This Row],[id_0]],".jpg")</f>
        <v>https://raw.githubusercontent.com/marcelo-pascoal/Semaforos/refs/heads/main/fotos/445.jpg</v>
      </c>
      <c r="AE47" s="3" t="str">
        <f>_xlfn.CONCAT("https://raw.githubusercontent.com/marcelo-pascoal/Semaforos/refs/heads/main/fotosD/",Tabela1[[#This Row],[id_0]],".jpg")</f>
        <v>https://raw.githubusercontent.com/marcelo-pascoal/Semaforos/refs/heads/main/fotosD/445.jpg</v>
      </c>
      <c r="AF47" s="3">
        <v>2</v>
      </c>
    </row>
    <row r="48" spans="1:32" ht="250" customHeight="1" x14ac:dyDescent="0.35">
      <c r="A48" s="2" t="s">
        <v>130</v>
      </c>
      <c r="B48" s="5">
        <v>446</v>
      </c>
      <c r="C48" s="2" t="s">
        <v>178</v>
      </c>
      <c r="D48" s="1" t="s">
        <v>38</v>
      </c>
      <c r="F48" s="2" t="s">
        <v>180</v>
      </c>
      <c r="G48" s="1" t="s">
        <v>1144</v>
      </c>
      <c r="H48" s="1" t="s">
        <v>1146</v>
      </c>
      <c r="I48" s="1" t="s">
        <v>179</v>
      </c>
      <c r="J48" s="2" t="s">
        <v>176</v>
      </c>
      <c r="K48" s="2" t="s">
        <v>34</v>
      </c>
      <c r="L48" s="3"/>
      <c r="M48" s="3"/>
      <c r="N48" s="3"/>
      <c r="O48" s="3"/>
      <c r="P48" s="3"/>
      <c r="Q48" s="3"/>
      <c r="R48" s="3"/>
      <c r="S48" s="3"/>
      <c r="T48" s="3"/>
      <c r="U48" s="3">
        <v>1</v>
      </c>
      <c r="V48" s="3">
        <v>1</v>
      </c>
      <c r="W48" s="3" t="s">
        <v>40</v>
      </c>
      <c r="X48" s="3"/>
      <c r="Y48" s="3"/>
      <c r="Z48" s="3"/>
      <c r="AA48" s="3" t="s">
        <v>35</v>
      </c>
      <c r="AB48" s="6" t="str">
        <f>HYPERLINK(_xlfn.CONCAT("https://www.google.com/maps/search/",Tabela1[[#This Row],[GPS]]),"##")</f>
        <v>##</v>
      </c>
      <c r="AC48" s="3" t="str">
        <f>_xlfn.CONCAT("https://raw.githubusercontent.com/marcelo-pascoal/Semaforos/refs/heads/main/fotosD/",Tabela1[[#This Row],[Foto1]])</f>
        <v>https://raw.githubusercontent.com/marcelo-pascoal/Semaforos/refs/heads/main/fotosD/DSCF6972.JPG</v>
      </c>
      <c r="AD48" s="3" t="str">
        <f>_xlfn.CONCAT("https://raw.githubusercontent.com/marcelo-pascoal/Semaforos/refs/heads/main/fotos/",Tabela1[[#This Row],[id_0]],".jpg")</f>
        <v>https://raw.githubusercontent.com/marcelo-pascoal/Semaforos/refs/heads/main/fotos/446.jpg</v>
      </c>
      <c r="AE48" s="3" t="str">
        <f>_xlfn.CONCAT("https://raw.githubusercontent.com/marcelo-pascoal/Semaforos/refs/heads/main/fotosD/",Tabela1[[#This Row],[id_0]],".jpg")</f>
        <v>https://raw.githubusercontent.com/marcelo-pascoal/Semaforos/refs/heads/main/fotosD/446.jpg</v>
      </c>
      <c r="AF48" s="3">
        <v>2</v>
      </c>
    </row>
    <row r="49" spans="1:32" ht="250" customHeight="1" x14ac:dyDescent="0.35">
      <c r="A49" s="2" t="s">
        <v>130</v>
      </c>
      <c r="B49" s="5">
        <v>626</v>
      </c>
      <c r="C49" s="2" t="s">
        <v>181</v>
      </c>
      <c r="D49" s="1" t="s">
        <v>38</v>
      </c>
      <c r="G49" s="1" t="s">
        <v>1144</v>
      </c>
      <c r="H49" s="1" t="s">
        <v>1146</v>
      </c>
      <c r="I49" s="1" t="s">
        <v>182</v>
      </c>
      <c r="J49" s="2" t="s">
        <v>133</v>
      </c>
      <c r="K49" s="2" t="s">
        <v>34</v>
      </c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 t="s">
        <v>35</v>
      </c>
      <c r="AB49" s="6" t="str">
        <f>HYPERLINK(_xlfn.CONCAT("https://www.google.com/maps/search/",Tabela1[[#This Row],[GPS]]),"##")</f>
        <v>##</v>
      </c>
      <c r="AC49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49" s="3" t="str">
        <f>_xlfn.CONCAT("https://raw.githubusercontent.com/marcelo-pascoal/Semaforos/refs/heads/main/fotos/",Tabela1[[#This Row],[id_0]],".jpg")</f>
        <v>https://raw.githubusercontent.com/marcelo-pascoal/Semaforos/refs/heads/main/fotos/626.jpg</v>
      </c>
      <c r="AE49" s="3" t="str">
        <f>_xlfn.CONCAT("https://raw.githubusercontent.com/marcelo-pascoal/Semaforos/refs/heads/main/fotosD/",Tabela1[[#This Row],[id_0]],".jpg")</f>
        <v>https://raw.githubusercontent.com/marcelo-pascoal/Semaforos/refs/heads/main/fotosD/626.jpg</v>
      </c>
      <c r="AF49" s="3">
        <v>2</v>
      </c>
    </row>
    <row r="50" spans="1:32" ht="250" customHeight="1" x14ac:dyDescent="0.35">
      <c r="A50" s="2" t="s">
        <v>183</v>
      </c>
      <c r="B50" s="5">
        <v>281</v>
      </c>
      <c r="C50" s="2" t="s">
        <v>184</v>
      </c>
      <c r="D50" s="1" t="s">
        <v>38</v>
      </c>
      <c r="F50" s="2" t="s">
        <v>187</v>
      </c>
      <c r="G50" s="1" t="s">
        <v>1144</v>
      </c>
      <c r="H50" s="1" t="s">
        <v>1146</v>
      </c>
      <c r="I50" s="1" t="s">
        <v>185</v>
      </c>
      <c r="J50" s="2" t="s">
        <v>186</v>
      </c>
      <c r="K50" s="2" t="s">
        <v>34</v>
      </c>
      <c r="L50" s="3"/>
      <c r="M50" s="3"/>
      <c r="N50" s="3"/>
      <c r="O50" s="3">
        <v>1</v>
      </c>
      <c r="P50" s="3">
        <v>1</v>
      </c>
      <c r="Q50" s="3">
        <v>1</v>
      </c>
      <c r="R50" s="3"/>
      <c r="S50" s="3"/>
      <c r="T50" s="3"/>
      <c r="U50" s="3"/>
      <c r="V50" s="3"/>
      <c r="W50" s="3"/>
      <c r="X50" s="3"/>
      <c r="Y50" s="3"/>
      <c r="Z50" s="3"/>
      <c r="AA50" s="3" t="s">
        <v>35</v>
      </c>
      <c r="AB50" s="6" t="str">
        <f>HYPERLINK(_xlfn.CONCAT("https://www.google.com/maps/search/",Tabela1[[#This Row],[GPS]]),"##")</f>
        <v>##</v>
      </c>
      <c r="AC50" s="3" t="str">
        <f>_xlfn.CONCAT("https://raw.githubusercontent.com/marcelo-pascoal/Semaforos/refs/heads/main/fotosD/",Tabela1[[#This Row],[Foto1]])</f>
        <v>https://raw.githubusercontent.com/marcelo-pascoal/Semaforos/refs/heads/main/fotosD/DSCF6984.JPG</v>
      </c>
      <c r="AD50" s="3" t="str">
        <f>_xlfn.CONCAT("https://raw.githubusercontent.com/marcelo-pascoal/Semaforos/refs/heads/main/fotos/",Tabela1[[#This Row],[id_0]],".jpg")</f>
        <v>https://raw.githubusercontent.com/marcelo-pascoal/Semaforos/refs/heads/main/fotos/281.jpg</v>
      </c>
      <c r="AE50" s="3" t="str">
        <f>_xlfn.CONCAT("https://raw.githubusercontent.com/marcelo-pascoal/Semaforos/refs/heads/main/fotosD/",Tabela1[[#This Row],[id_0]],".jpg")</f>
        <v>https://raw.githubusercontent.com/marcelo-pascoal/Semaforos/refs/heads/main/fotosD/281.jpg</v>
      </c>
      <c r="AF50" s="3">
        <v>2</v>
      </c>
    </row>
    <row r="51" spans="1:32" ht="250" customHeight="1" x14ac:dyDescent="0.35">
      <c r="A51" s="2" t="s">
        <v>183</v>
      </c>
      <c r="B51" s="5">
        <v>282</v>
      </c>
      <c r="C51" s="2" t="s">
        <v>188</v>
      </c>
      <c r="D51" s="1" t="s">
        <v>38</v>
      </c>
      <c r="F51" s="2" t="s">
        <v>190</v>
      </c>
      <c r="G51" s="1" t="s">
        <v>1144</v>
      </c>
      <c r="H51" s="1" t="s">
        <v>1146</v>
      </c>
      <c r="I51" s="1" t="s">
        <v>189</v>
      </c>
      <c r="J51" s="2" t="s">
        <v>186</v>
      </c>
      <c r="K51" s="2" t="s">
        <v>34</v>
      </c>
      <c r="L51" s="3"/>
      <c r="M51" s="3"/>
      <c r="N51" s="3"/>
      <c r="O51" s="3">
        <v>1</v>
      </c>
      <c r="P51" s="3">
        <v>1</v>
      </c>
      <c r="Q51" s="3">
        <v>1</v>
      </c>
      <c r="R51" s="3"/>
      <c r="S51" s="3"/>
      <c r="T51" s="3"/>
      <c r="U51" s="3"/>
      <c r="V51" s="3"/>
      <c r="W51" s="3"/>
      <c r="X51" s="3"/>
      <c r="Y51" s="3"/>
      <c r="Z51" s="3"/>
      <c r="AA51" s="3" t="s">
        <v>35</v>
      </c>
      <c r="AB51" s="6" t="str">
        <f>HYPERLINK(_xlfn.CONCAT("https://www.google.com/maps/search/",Tabela1[[#This Row],[GPS]]),"##")</f>
        <v>##</v>
      </c>
      <c r="AC51" s="3" t="str">
        <f>_xlfn.CONCAT("https://raw.githubusercontent.com/marcelo-pascoal/Semaforos/refs/heads/main/fotosD/",Tabela1[[#This Row],[Foto1]])</f>
        <v>https://raw.githubusercontent.com/marcelo-pascoal/Semaforos/refs/heads/main/fotosD/DSCF6985.JPG</v>
      </c>
      <c r="AD51" s="3" t="str">
        <f>_xlfn.CONCAT("https://raw.githubusercontent.com/marcelo-pascoal/Semaforos/refs/heads/main/fotos/",Tabela1[[#This Row],[id_0]],".jpg")</f>
        <v>https://raw.githubusercontent.com/marcelo-pascoal/Semaforos/refs/heads/main/fotos/282.jpg</v>
      </c>
      <c r="AE51" s="3" t="str">
        <f>_xlfn.CONCAT("https://raw.githubusercontent.com/marcelo-pascoal/Semaforos/refs/heads/main/fotosD/",Tabela1[[#This Row],[id_0]],".jpg")</f>
        <v>https://raw.githubusercontent.com/marcelo-pascoal/Semaforos/refs/heads/main/fotosD/282.jpg</v>
      </c>
      <c r="AF51" s="3">
        <v>2</v>
      </c>
    </row>
    <row r="52" spans="1:32" ht="250" customHeight="1" x14ac:dyDescent="0.35">
      <c r="A52" s="2" t="s">
        <v>183</v>
      </c>
      <c r="B52" s="5">
        <v>283</v>
      </c>
      <c r="C52" s="2" t="s">
        <v>191</v>
      </c>
      <c r="D52" s="1" t="s">
        <v>38</v>
      </c>
      <c r="F52" s="2" t="s">
        <v>193</v>
      </c>
      <c r="G52" s="1" t="s">
        <v>1144</v>
      </c>
      <c r="H52" s="1" t="s">
        <v>1146</v>
      </c>
      <c r="I52" s="1" t="s">
        <v>192</v>
      </c>
      <c r="J52" s="2" t="s">
        <v>186</v>
      </c>
      <c r="K52" s="2" t="s">
        <v>34</v>
      </c>
      <c r="L52" s="3"/>
      <c r="M52" s="3"/>
      <c r="N52" s="3"/>
      <c r="O52" s="3">
        <v>1</v>
      </c>
      <c r="P52" s="3">
        <v>1</v>
      </c>
      <c r="Q52" s="3">
        <v>1</v>
      </c>
      <c r="R52" s="3">
        <v>1</v>
      </c>
      <c r="S52" s="3">
        <v>1</v>
      </c>
      <c r="T52" s="3">
        <v>1</v>
      </c>
      <c r="U52" s="3"/>
      <c r="V52" s="3"/>
      <c r="W52" s="3"/>
      <c r="X52" s="3"/>
      <c r="Y52" s="3"/>
      <c r="Z52" s="3"/>
      <c r="AA52" s="3" t="s">
        <v>35</v>
      </c>
      <c r="AB52" s="6" t="str">
        <f>HYPERLINK(_xlfn.CONCAT("https://www.google.com/maps/search/",Tabela1[[#This Row],[GPS]]),"##")</f>
        <v>##</v>
      </c>
      <c r="AC52" s="3" t="str">
        <f>_xlfn.CONCAT("https://raw.githubusercontent.com/marcelo-pascoal/Semaforos/refs/heads/main/fotosD/",Tabela1[[#This Row],[Foto1]])</f>
        <v>https://raw.githubusercontent.com/marcelo-pascoal/Semaforos/refs/heads/main/fotosD/DSCF6983.JPG</v>
      </c>
      <c r="AD52" s="3" t="str">
        <f>_xlfn.CONCAT("https://raw.githubusercontent.com/marcelo-pascoal/Semaforos/refs/heads/main/fotos/",Tabela1[[#This Row],[id_0]],".jpg")</f>
        <v>https://raw.githubusercontent.com/marcelo-pascoal/Semaforos/refs/heads/main/fotos/283.jpg</v>
      </c>
      <c r="AE52" s="3" t="str">
        <f>_xlfn.CONCAT("https://raw.githubusercontent.com/marcelo-pascoal/Semaforos/refs/heads/main/fotosD/",Tabela1[[#This Row],[id_0]],".jpg")</f>
        <v>https://raw.githubusercontent.com/marcelo-pascoal/Semaforos/refs/heads/main/fotosD/283.jpg</v>
      </c>
      <c r="AF52" s="3">
        <v>2</v>
      </c>
    </row>
    <row r="53" spans="1:32" ht="250" customHeight="1" x14ac:dyDescent="0.35">
      <c r="A53" s="2" t="s">
        <v>183</v>
      </c>
      <c r="B53" s="5">
        <v>284</v>
      </c>
      <c r="C53" s="2" t="s">
        <v>194</v>
      </c>
      <c r="D53" s="1" t="s">
        <v>38</v>
      </c>
      <c r="F53" s="2" t="s">
        <v>196</v>
      </c>
      <c r="G53" s="1" t="s">
        <v>1144</v>
      </c>
      <c r="H53" s="1" t="s">
        <v>1146</v>
      </c>
      <c r="I53" s="1" t="s">
        <v>195</v>
      </c>
      <c r="J53" s="2" t="s">
        <v>186</v>
      </c>
      <c r="K53" s="2" t="s">
        <v>34</v>
      </c>
      <c r="L53" s="3"/>
      <c r="M53" s="3"/>
      <c r="N53" s="3"/>
      <c r="O53" s="3">
        <v>1</v>
      </c>
      <c r="P53" s="3">
        <v>1</v>
      </c>
      <c r="Q53" s="3">
        <v>1</v>
      </c>
      <c r="R53" s="3"/>
      <c r="S53" s="3"/>
      <c r="T53" s="3"/>
      <c r="U53" s="3"/>
      <c r="V53" s="3"/>
      <c r="W53" s="3"/>
      <c r="X53" s="3"/>
      <c r="Y53" s="3"/>
      <c r="Z53" s="3"/>
      <c r="AA53" s="3" t="s">
        <v>35</v>
      </c>
      <c r="AB53" s="6" t="str">
        <f>HYPERLINK(_xlfn.CONCAT("https://www.google.com/maps/search/",Tabela1[[#This Row],[GPS]]),"##")</f>
        <v>##</v>
      </c>
      <c r="AC53" s="3" t="str">
        <f>_xlfn.CONCAT("https://raw.githubusercontent.com/marcelo-pascoal/Semaforos/refs/heads/main/fotosD/",Tabela1[[#This Row],[Foto1]])</f>
        <v>https://raw.githubusercontent.com/marcelo-pascoal/Semaforos/refs/heads/main/fotosD/DSCF6986.JPG</v>
      </c>
      <c r="AD53" s="3" t="str">
        <f>_xlfn.CONCAT("https://raw.githubusercontent.com/marcelo-pascoal/Semaforos/refs/heads/main/fotos/",Tabela1[[#This Row],[id_0]],".jpg")</f>
        <v>https://raw.githubusercontent.com/marcelo-pascoal/Semaforos/refs/heads/main/fotos/284.jpg</v>
      </c>
      <c r="AE53" s="3" t="str">
        <f>_xlfn.CONCAT("https://raw.githubusercontent.com/marcelo-pascoal/Semaforos/refs/heads/main/fotosD/",Tabela1[[#This Row],[id_0]],".jpg")</f>
        <v>https://raw.githubusercontent.com/marcelo-pascoal/Semaforos/refs/heads/main/fotosD/284.jpg</v>
      </c>
      <c r="AF53" s="3">
        <v>2</v>
      </c>
    </row>
    <row r="54" spans="1:32" ht="250" customHeight="1" x14ac:dyDescent="0.35">
      <c r="A54" s="2" t="s">
        <v>183</v>
      </c>
      <c r="B54" s="5">
        <v>285</v>
      </c>
      <c r="C54" s="2" t="s">
        <v>197</v>
      </c>
      <c r="D54" s="1" t="s">
        <v>38</v>
      </c>
      <c r="F54" s="2" t="s">
        <v>196</v>
      </c>
      <c r="G54" s="1" t="s">
        <v>1144</v>
      </c>
      <c r="H54" s="1" t="s">
        <v>1146</v>
      </c>
      <c r="I54" s="1" t="s">
        <v>198</v>
      </c>
      <c r="J54" s="2" t="s">
        <v>199</v>
      </c>
      <c r="K54" s="2" t="s">
        <v>34</v>
      </c>
      <c r="L54" s="3"/>
      <c r="M54" s="3"/>
      <c r="N54" s="3"/>
      <c r="O54" s="3">
        <v>1</v>
      </c>
      <c r="P54" s="3">
        <v>1</v>
      </c>
      <c r="Q54" s="3">
        <v>1</v>
      </c>
      <c r="R54" s="3"/>
      <c r="S54" s="3"/>
      <c r="T54" s="3"/>
      <c r="U54" s="3"/>
      <c r="V54" s="3"/>
      <c r="W54" s="3"/>
      <c r="X54" s="3"/>
      <c r="Y54" s="3"/>
      <c r="Z54" s="3"/>
      <c r="AA54" s="3" t="s">
        <v>35</v>
      </c>
      <c r="AB54" s="6" t="str">
        <f>HYPERLINK(_xlfn.CONCAT("https://www.google.com/maps/search/",Tabela1[[#This Row],[GPS]]),"##")</f>
        <v>##</v>
      </c>
      <c r="AC54" s="3" t="str">
        <f>_xlfn.CONCAT("https://raw.githubusercontent.com/marcelo-pascoal/Semaforos/refs/heads/main/fotosD/",Tabela1[[#This Row],[Foto1]])</f>
        <v>https://raw.githubusercontent.com/marcelo-pascoal/Semaforos/refs/heads/main/fotosD/DSCF6986.JPG</v>
      </c>
      <c r="AD54" s="3" t="str">
        <f>_xlfn.CONCAT("https://raw.githubusercontent.com/marcelo-pascoal/Semaforos/refs/heads/main/fotos/",Tabela1[[#This Row],[id_0]],".jpg")</f>
        <v>https://raw.githubusercontent.com/marcelo-pascoal/Semaforos/refs/heads/main/fotos/285.jpg</v>
      </c>
      <c r="AE54" s="3" t="str">
        <f>_xlfn.CONCAT("https://raw.githubusercontent.com/marcelo-pascoal/Semaforos/refs/heads/main/fotosD/",Tabela1[[#This Row],[id_0]],".jpg")</f>
        <v>https://raw.githubusercontent.com/marcelo-pascoal/Semaforos/refs/heads/main/fotosD/285.jpg</v>
      </c>
      <c r="AF54" s="3">
        <v>2</v>
      </c>
    </row>
    <row r="55" spans="1:32" ht="250" customHeight="1" x14ac:dyDescent="0.35">
      <c r="A55" s="2" t="s">
        <v>183</v>
      </c>
      <c r="B55" s="5">
        <v>286</v>
      </c>
      <c r="C55" s="2" t="s">
        <v>200</v>
      </c>
      <c r="D55" s="1" t="s">
        <v>38</v>
      </c>
      <c r="F55" s="2" t="s">
        <v>202</v>
      </c>
      <c r="G55" s="1" t="s">
        <v>1144</v>
      </c>
      <c r="H55" s="1" t="s">
        <v>1146</v>
      </c>
      <c r="I55" s="1" t="s">
        <v>201</v>
      </c>
      <c r="J55" s="2" t="s">
        <v>186</v>
      </c>
      <c r="K55" s="2" t="s">
        <v>34</v>
      </c>
      <c r="L55" s="3"/>
      <c r="M55" s="3"/>
      <c r="N55" s="3"/>
      <c r="O55" s="3">
        <v>1</v>
      </c>
      <c r="P55" s="3">
        <v>1</v>
      </c>
      <c r="Q55" s="3">
        <v>1</v>
      </c>
      <c r="R55" s="3"/>
      <c r="S55" s="3"/>
      <c r="T55" s="3"/>
      <c r="U55" s="3">
        <v>1</v>
      </c>
      <c r="V55" s="3">
        <v>1</v>
      </c>
      <c r="W55" s="3" t="s">
        <v>40</v>
      </c>
      <c r="X55" s="3" t="s">
        <v>40</v>
      </c>
      <c r="Y55" s="3"/>
      <c r="Z55" s="3"/>
      <c r="AA55" s="3" t="s">
        <v>35</v>
      </c>
      <c r="AB55" s="6" t="str">
        <f>HYPERLINK(_xlfn.CONCAT("https://www.google.com/maps/search/",Tabela1[[#This Row],[GPS]]),"##")</f>
        <v>##</v>
      </c>
      <c r="AC55" s="3" t="str">
        <f>_xlfn.CONCAT("https://raw.githubusercontent.com/marcelo-pascoal/Semaforos/refs/heads/main/fotosD/",Tabela1[[#This Row],[Foto1]])</f>
        <v>https://raw.githubusercontent.com/marcelo-pascoal/Semaforos/refs/heads/main/fotosD/DSCF6989.JPG</v>
      </c>
      <c r="AD55" s="3" t="str">
        <f>_xlfn.CONCAT("https://raw.githubusercontent.com/marcelo-pascoal/Semaforos/refs/heads/main/fotos/",Tabela1[[#This Row],[id_0]],".jpg")</f>
        <v>https://raw.githubusercontent.com/marcelo-pascoal/Semaforos/refs/heads/main/fotos/286.jpg</v>
      </c>
      <c r="AE55" s="3" t="str">
        <f>_xlfn.CONCAT("https://raw.githubusercontent.com/marcelo-pascoal/Semaforos/refs/heads/main/fotosD/",Tabela1[[#This Row],[id_0]],".jpg")</f>
        <v>https://raw.githubusercontent.com/marcelo-pascoal/Semaforos/refs/heads/main/fotosD/286.jpg</v>
      </c>
      <c r="AF55" s="3">
        <v>2</v>
      </c>
    </row>
    <row r="56" spans="1:32" ht="250" customHeight="1" x14ac:dyDescent="0.35">
      <c r="A56" s="2" t="s">
        <v>183</v>
      </c>
      <c r="B56" s="5">
        <v>287</v>
      </c>
      <c r="C56" s="2" t="s">
        <v>203</v>
      </c>
      <c r="D56" s="1" t="s">
        <v>38</v>
      </c>
      <c r="F56" s="2" t="s">
        <v>205</v>
      </c>
      <c r="G56" s="1" t="s">
        <v>1144</v>
      </c>
      <c r="H56" s="1" t="s">
        <v>1146</v>
      </c>
      <c r="I56" s="1" t="s">
        <v>204</v>
      </c>
      <c r="J56" s="2" t="s">
        <v>186</v>
      </c>
      <c r="K56" s="2" t="s">
        <v>34</v>
      </c>
      <c r="L56" s="3"/>
      <c r="M56" s="3"/>
      <c r="N56" s="3"/>
      <c r="O56" s="3">
        <v>1</v>
      </c>
      <c r="P56" s="3">
        <v>1</v>
      </c>
      <c r="Q56" s="3">
        <v>1</v>
      </c>
      <c r="R56" s="3"/>
      <c r="S56" s="3"/>
      <c r="T56" s="3"/>
      <c r="U56" s="3">
        <v>1</v>
      </c>
      <c r="V56" s="3">
        <v>1</v>
      </c>
      <c r="W56" s="3" t="s">
        <v>40</v>
      </c>
      <c r="X56" s="3" t="s">
        <v>40</v>
      </c>
      <c r="Y56" s="3"/>
      <c r="Z56" s="3"/>
      <c r="AA56" s="3" t="s">
        <v>35</v>
      </c>
      <c r="AB56" s="6" t="str">
        <f>HYPERLINK(_xlfn.CONCAT("https://www.google.com/maps/search/",Tabela1[[#This Row],[GPS]]),"##")</f>
        <v>##</v>
      </c>
      <c r="AC56" s="3" t="str">
        <f>_xlfn.CONCAT("https://raw.githubusercontent.com/marcelo-pascoal/Semaforos/refs/heads/main/fotosD/",Tabela1[[#This Row],[Foto1]])</f>
        <v>https://raw.githubusercontent.com/marcelo-pascoal/Semaforos/refs/heads/main/fotosD/DSCF6992.JPG</v>
      </c>
      <c r="AD56" s="3" t="str">
        <f>_xlfn.CONCAT("https://raw.githubusercontent.com/marcelo-pascoal/Semaforos/refs/heads/main/fotos/",Tabela1[[#This Row],[id_0]],".jpg")</f>
        <v>https://raw.githubusercontent.com/marcelo-pascoal/Semaforos/refs/heads/main/fotos/287.jpg</v>
      </c>
      <c r="AE56" s="3" t="str">
        <f>_xlfn.CONCAT("https://raw.githubusercontent.com/marcelo-pascoal/Semaforos/refs/heads/main/fotosD/",Tabela1[[#This Row],[id_0]],".jpg")</f>
        <v>https://raw.githubusercontent.com/marcelo-pascoal/Semaforos/refs/heads/main/fotosD/287.jpg</v>
      </c>
      <c r="AF56" s="3">
        <v>2</v>
      </c>
    </row>
    <row r="57" spans="1:32" ht="250" customHeight="1" x14ac:dyDescent="0.35">
      <c r="A57" s="2" t="s">
        <v>183</v>
      </c>
      <c r="B57" s="5">
        <v>288</v>
      </c>
      <c r="C57" s="2" t="s">
        <v>206</v>
      </c>
      <c r="D57" s="1" t="s">
        <v>38</v>
      </c>
      <c r="F57" s="2" t="s">
        <v>208</v>
      </c>
      <c r="G57" s="1" t="s">
        <v>1144</v>
      </c>
      <c r="H57" s="1" t="s">
        <v>1146</v>
      </c>
      <c r="I57" s="1" t="s">
        <v>207</v>
      </c>
      <c r="J57" s="2" t="s">
        <v>186</v>
      </c>
      <c r="K57" s="2" t="s">
        <v>34</v>
      </c>
      <c r="L57" s="3"/>
      <c r="M57" s="3"/>
      <c r="N57" s="3"/>
      <c r="O57" s="3">
        <v>1</v>
      </c>
      <c r="P57" s="3">
        <v>1</v>
      </c>
      <c r="Q57" s="3">
        <v>1</v>
      </c>
      <c r="R57" s="3"/>
      <c r="S57" s="3"/>
      <c r="T57" s="3"/>
      <c r="U57" s="3">
        <v>1</v>
      </c>
      <c r="V57" s="3">
        <v>1</v>
      </c>
      <c r="W57" s="3" t="s">
        <v>40</v>
      </c>
      <c r="X57" s="3" t="s">
        <v>40</v>
      </c>
      <c r="Y57" s="3"/>
      <c r="Z57" s="3"/>
      <c r="AA57" s="3" t="s">
        <v>35</v>
      </c>
      <c r="AB57" s="6" t="str">
        <f>HYPERLINK(_xlfn.CONCAT("https://www.google.com/maps/search/",Tabela1[[#This Row],[GPS]]),"##")</f>
        <v>##</v>
      </c>
      <c r="AC57" s="3" t="str">
        <f>_xlfn.CONCAT("https://raw.githubusercontent.com/marcelo-pascoal/Semaforos/refs/heads/main/fotosD/",Tabela1[[#This Row],[Foto1]])</f>
        <v>https://raw.githubusercontent.com/marcelo-pascoal/Semaforos/refs/heads/main/fotosD/DSCF6990.JPG</v>
      </c>
      <c r="AD57" s="3" t="str">
        <f>_xlfn.CONCAT("https://raw.githubusercontent.com/marcelo-pascoal/Semaforos/refs/heads/main/fotos/",Tabela1[[#This Row],[id_0]],".jpg")</f>
        <v>https://raw.githubusercontent.com/marcelo-pascoal/Semaforos/refs/heads/main/fotos/288.jpg</v>
      </c>
      <c r="AE57" s="3" t="str">
        <f>_xlfn.CONCAT("https://raw.githubusercontent.com/marcelo-pascoal/Semaforos/refs/heads/main/fotosD/",Tabela1[[#This Row],[id_0]],".jpg")</f>
        <v>https://raw.githubusercontent.com/marcelo-pascoal/Semaforos/refs/heads/main/fotosD/288.jpg</v>
      </c>
      <c r="AF57" s="3">
        <v>2</v>
      </c>
    </row>
    <row r="58" spans="1:32" ht="250" customHeight="1" x14ac:dyDescent="0.35">
      <c r="A58" s="2" t="s">
        <v>183</v>
      </c>
      <c r="B58" s="5">
        <v>447</v>
      </c>
      <c r="C58" s="2" t="s">
        <v>209</v>
      </c>
      <c r="D58" s="1" t="s">
        <v>38</v>
      </c>
      <c r="F58" s="2" t="s">
        <v>211</v>
      </c>
      <c r="G58" s="1" t="s">
        <v>1144</v>
      </c>
      <c r="H58" s="1" t="s">
        <v>1146</v>
      </c>
      <c r="I58" s="1" t="s">
        <v>210</v>
      </c>
      <c r="J58" s="2" t="s">
        <v>186</v>
      </c>
      <c r="K58" s="2" t="s">
        <v>34</v>
      </c>
      <c r="L58" s="3"/>
      <c r="M58" s="3"/>
      <c r="N58" s="3"/>
      <c r="O58" s="3">
        <v>1</v>
      </c>
      <c r="P58" s="3">
        <v>1</v>
      </c>
      <c r="Q58" s="3">
        <v>1</v>
      </c>
      <c r="R58" s="3"/>
      <c r="S58" s="3"/>
      <c r="T58" s="3"/>
      <c r="U58" s="3">
        <v>1</v>
      </c>
      <c r="V58" s="3">
        <v>1</v>
      </c>
      <c r="W58" s="3" t="s">
        <v>40</v>
      </c>
      <c r="X58" s="3" t="s">
        <v>40</v>
      </c>
      <c r="Y58" s="3"/>
      <c r="Z58" s="3"/>
      <c r="AA58" s="3" t="s">
        <v>35</v>
      </c>
      <c r="AB58" s="6" t="str">
        <f>HYPERLINK(_xlfn.CONCAT("https://www.google.com/maps/search/",Tabela1[[#This Row],[GPS]]),"##")</f>
        <v>##</v>
      </c>
      <c r="AC58" s="3" t="str">
        <f>_xlfn.CONCAT("https://raw.githubusercontent.com/marcelo-pascoal/Semaforos/refs/heads/main/fotosD/",Tabela1[[#This Row],[Foto1]])</f>
        <v>https://raw.githubusercontent.com/marcelo-pascoal/Semaforos/refs/heads/main/fotosD/DSCF6991.JPG</v>
      </c>
      <c r="AD58" s="3" t="str">
        <f>_xlfn.CONCAT("https://raw.githubusercontent.com/marcelo-pascoal/Semaforos/refs/heads/main/fotos/",Tabela1[[#This Row],[id_0]],".jpg")</f>
        <v>https://raw.githubusercontent.com/marcelo-pascoal/Semaforos/refs/heads/main/fotos/447.jpg</v>
      </c>
      <c r="AE58" s="3" t="str">
        <f>_xlfn.CONCAT("https://raw.githubusercontent.com/marcelo-pascoal/Semaforos/refs/heads/main/fotosD/",Tabela1[[#This Row],[id_0]],".jpg")</f>
        <v>https://raw.githubusercontent.com/marcelo-pascoal/Semaforos/refs/heads/main/fotosD/447.jpg</v>
      </c>
      <c r="AF58" s="3">
        <v>2</v>
      </c>
    </row>
    <row r="59" spans="1:32" ht="250" customHeight="1" x14ac:dyDescent="0.35">
      <c r="A59" s="2" t="s">
        <v>212</v>
      </c>
      <c r="B59" s="5">
        <v>280</v>
      </c>
      <c r="C59" s="2" t="s">
        <v>213</v>
      </c>
      <c r="D59" s="1" t="s">
        <v>60</v>
      </c>
      <c r="F59" s="2" t="s">
        <v>216</v>
      </c>
      <c r="G59" s="1" t="s">
        <v>1145</v>
      </c>
      <c r="H59" s="1" t="s">
        <v>1146</v>
      </c>
      <c r="I59" s="1" t="s">
        <v>214</v>
      </c>
      <c r="J59" s="2" t="s">
        <v>215</v>
      </c>
      <c r="K59" s="2" t="s">
        <v>34</v>
      </c>
      <c r="L59" s="3">
        <v>1</v>
      </c>
      <c r="M59" s="3"/>
      <c r="N59" s="3"/>
      <c r="O59" s="3">
        <v>1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/>
      <c r="V59" s="3"/>
      <c r="W59" s="3"/>
      <c r="X59" s="3"/>
      <c r="Y59" s="3" t="s">
        <v>40</v>
      </c>
      <c r="Z59" s="3"/>
      <c r="AA59" s="3" t="s">
        <v>35</v>
      </c>
      <c r="AB59" s="6" t="str">
        <f>HYPERLINK(_xlfn.CONCAT("https://www.google.com/maps/search/",Tabela1[[#This Row],[GPS]]),"##")</f>
        <v>##</v>
      </c>
      <c r="AC59" s="3" t="str">
        <f>_xlfn.CONCAT("https://raw.githubusercontent.com/marcelo-pascoal/Semaforos/refs/heads/main/fotosD/",Tabela1[[#This Row],[Foto1]])</f>
        <v>https://raw.githubusercontent.com/marcelo-pascoal/Semaforos/refs/heads/main/fotosD/DSCF6994_1.jpg</v>
      </c>
      <c r="AD59" s="3" t="str">
        <f>_xlfn.CONCAT("https://raw.githubusercontent.com/marcelo-pascoal/Semaforos/refs/heads/main/fotos/",Tabela1[[#This Row],[id_0]],".jpg")</f>
        <v>https://raw.githubusercontent.com/marcelo-pascoal/Semaforos/refs/heads/main/fotos/280.jpg</v>
      </c>
      <c r="AE59" s="3" t="str">
        <f>_xlfn.CONCAT("https://raw.githubusercontent.com/marcelo-pascoal/Semaforos/refs/heads/main/fotosD/",Tabela1[[#This Row],[id_0]],".jpg")</f>
        <v>https://raw.githubusercontent.com/marcelo-pascoal/Semaforos/refs/heads/main/fotosD/280.jpg</v>
      </c>
      <c r="AF59" s="3">
        <v>2</v>
      </c>
    </row>
    <row r="60" spans="1:32" ht="250" customHeight="1" x14ac:dyDescent="0.35">
      <c r="A60" s="2" t="s">
        <v>217</v>
      </c>
      <c r="B60" s="5">
        <v>278</v>
      </c>
      <c r="C60" s="2" t="s">
        <v>218</v>
      </c>
      <c r="D60" s="1" t="s">
        <v>38</v>
      </c>
      <c r="F60" s="2" t="s">
        <v>220</v>
      </c>
      <c r="G60" s="1" t="s">
        <v>1144</v>
      </c>
      <c r="H60" s="1" t="s">
        <v>1146</v>
      </c>
      <c r="I60" s="1" t="s">
        <v>219</v>
      </c>
      <c r="J60" s="2" t="s">
        <v>215</v>
      </c>
      <c r="K60" s="2" t="s">
        <v>34</v>
      </c>
      <c r="L60" s="3"/>
      <c r="M60" s="3"/>
      <c r="N60" s="3"/>
      <c r="O60" s="3">
        <v>1</v>
      </c>
      <c r="P60" s="3">
        <v>1</v>
      </c>
      <c r="Q60" s="3">
        <v>1</v>
      </c>
      <c r="R60" s="3">
        <v>1</v>
      </c>
      <c r="S60" s="3">
        <v>1</v>
      </c>
      <c r="T60" s="3">
        <v>1</v>
      </c>
      <c r="U60" s="3">
        <v>1</v>
      </c>
      <c r="V60" s="3">
        <v>1</v>
      </c>
      <c r="W60" s="3" t="s">
        <v>40</v>
      </c>
      <c r="X60" s="3" t="s">
        <v>40</v>
      </c>
      <c r="Y60" s="3"/>
      <c r="Z60" s="3"/>
      <c r="AA60" s="3" t="s">
        <v>35</v>
      </c>
      <c r="AB60" s="6" t="str">
        <f>HYPERLINK(_xlfn.CONCAT("https://www.google.com/maps/search/",Tabela1[[#This Row],[GPS]]),"##")</f>
        <v>##</v>
      </c>
      <c r="AC60" s="3" t="str">
        <f>_xlfn.CONCAT("https://raw.githubusercontent.com/marcelo-pascoal/Semaforos/refs/heads/main/fotosD/",Tabela1[[#This Row],[Foto1]])</f>
        <v>https://raw.githubusercontent.com/marcelo-pascoal/Semaforos/refs/heads/main/fotosD/DSCF7001.JPG</v>
      </c>
      <c r="AD60" s="3" t="str">
        <f>_xlfn.CONCAT("https://raw.githubusercontent.com/marcelo-pascoal/Semaforos/refs/heads/main/fotos/",Tabela1[[#This Row],[id_0]],".jpg")</f>
        <v>https://raw.githubusercontent.com/marcelo-pascoal/Semaforos/refs/heads/main/fotos/278.jpg</v>
      </c>
      <c r="AE60" s="3" t="str">
        <f>_xlfn.CONCAT("https://raw.githubusercontent.com/marcelo-pascoal/Semaforos/refs/heads/main/fotosD/",Tabela1[[#This Row],[id_0]],".jpg")</f>
        <v>https://raw.githubusercontent.com/marcelo-pascoal/Semaforos/refs/heads/main/fotosD/278.jpg</v>
      </c>
      <c r="AF60" s="3">
        <v>1</v>
      </c>
    </row>
    <row r="61" spans="1:32" ht="250" customHeight="1" x14ac:dyDescent="0.35">
      <c r="A61" s="2" t="s">
        <v>217</v>
      </c>
      <c r="B61" s="5">
        <v>279</v>
      </c>
      <c r="C61" s="2" t="s">
        <v>221</v>
      </c>
      <c r="D61" s="1" t="s">
        <v>60</v>
      </c>
      <c r="F61" s="2" t="s">
        <v>223</v>
      </c>
      <c r="G61" s="1" t="s">
        <v>1145</v>
      </c>
      <c r="H61" s="1" t="s">
        <v>1146</v>
      </c>
      <c r="I61" s="1" t="s">
        <v>222</v>
      </c>
      <c r="J61" s="2" t="s">
        <v>215</v>
      </c>
      <c r="K61" s="2" t="s">
        <v>34</v>
      </c>
      <c r="L61" s="3">
        <v>2</v>
      </c>
      <c r="M61" s="3"/>
      <c r="N61" s="3"/>
      <c r="O61" s="3">
        <v>1</v>
      </c>
      <c r="P61" s="3">
        <v>3</v>
      </c>
      <c r="Q61" s="3">
        <v>3</v>
      </c>
      <c r="R61" s="3">
        <v>1</v>
      </c>
      <c r="S61" s="3">
        <v>1</v>
      </c>
      <c r="T61" s="3">
        <v>1</v>
      </c>
      <c r="U61" s="3">
        <v>1</v>
      </c>
      <c r="V61" s="3">
        <v>1</v>
      </c>
      <c r="W61" s="3" t="s">
        <v>40</v>
      </c>
      <c r="X61" s="3" t="s">
        <v>40</v>
      </c>
      <c r="Y61" s="3" t="s">
        <v>40</v>
      </c>
      <c r="Z61" s="3"/>
      <c r="AA61" s="3" t="s">
        <v>35</v>
      </c>
      <c r="AB61" s="6" t="str">
        <f>HYPERLINK(_xlfn.CONCAT("https://www.google.com/maps/search/",Tabela1[[#This Row],[GPS]]),"##")</f>
        <v>##</v>
      </c>
      <c r="AC61" s="3" t="str">
        <f>_xlfn.CONCAT("https://raw.githubusercontent.com/marcelo-pascoal/Semaforos/refs/heads/main/fotosD/",Tabela1[[#This Row],[Foto1]])</f>
        <v>https://raw.githubusercontent.com/marcelo-pascoal/Semaforos/refs/heads/main/fotosD/DSCF6999_1.JPG</v>
      </c>
      <c r="AD61" s="3" t="str">
        <f>_xlfn.CONCAT("https://raw.githubusercontent.com/marcelo-pascoal/Semaforos/refs/heads/main/fotos/",Tabela1[[#This Row],[id_0]],".jpg")</f>
        <v>https://raw.githubusercontent.com/marcelo-pascoal/Semaforos/refs/heads/main/fotos/279.jpg</v>
      </c>
      <c r="AE61" s="3" t="str">
        <f>_xlfn.CONCAT("https://raw.githubusercontent.com/marcelo-pascoal/Semaforos/refs/heads/main/fotosD/",Tabela1[[#This Row],[id_0]],".jpg")</f>
        <v>https://raw.githubusercontent.com/marcelo-pascoal/Semaforos/refs/heads/main/fotosD/279.jpg</v>
      </c>
      <c r="AF61" s="3">
        <v>2</v>
      </c>
    </row>
    <row r="62" spans="1:32" ht="250" customHeight="1" x14ac:dyDescent="0.35">
      <c r="A62" s="2" t="s">
        <v>224</v>
      </c>
      <c r="B62" s="5">
        <v>277</v>
      </c>
      <c r="C62" s="2" t="s">
        <v>225</v>
      </c>
      <c r="D62" s="1" t="s">
        <v>31</v>
      </c>
      <c r="F62" s="2" t="s">
        <v>227</v>
      </c>
      <c r="G62" s="1" t="s">
        <v>1144</v>
      </c>
      <c r="H62" s="1" t="s">
        <v>31</v>
      </c>
      <c r="I62" s="1" t="s">
        <v>226</v>
      </c>
      <c r="J62" s="2" t="s">
        <v>215</v>
      </c>
      <c r="K62" s="2" t="s">
        <v>34</v>
      </c>
      <c r="L62" s="3"/>
      <c r="M62" s="3">
        <v>2</v>
      </c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 t="s">
        <v>35</v>
      </c>
      <c r="AB62" s="6" t="str">
        <f>HYPERLINK(_xlfn.CONCAT("https://www.google.com/maps/search/",Tabela1[[#This Row],[GPS]]),"##")</f>
        <v>##</v>
      </c>
      <c r="AC62" s="3" t="str">
        <f>_xlfn.CONCAT("https://raw.githubusercontent.com/marcelo-pascoal/Semaforos/refs/heads/main/fotosD/",Tabela1[[#This Row],[Foto1]])</f>
        <v>https://raw.githubusercontent.com/marcelo-pascoal/Semaforos/refs/heads/main/fotosD/DSCF7009.JPG</v>
      </c>
      <c r="AD62" s="3" t="str">
        <f>_xlfn.CONCAT("https://raw.githubusercontent.com/marcelo-pascoal/Semaforos/refs/heads/main/fotos/",Tabela1[[#This Row],[id_0]],".jpg")</f>
        <v>https://raw.githubusercontent.com/marcelo-pascoal/Semaforos/refs/heads/main/fotos/277.jpg</v>
      </c>
      <c r="AE62" s="3" t="str">
        <f>_xlfn.CONCAT("https://raw.githubusercontent.com/marcelo-pascoal/Semaforos/refs/heads/main/fotosD/",Tabela1[[#This Row],[id_0]],".jpg")</f>
        <v>https://raw.githubusercontent.com/marcelo-pascoal/Semaforos/refs/heads/main/fotosD/277.jpg</v>
      </c>
      <c r="AF62" s="3">
        <v>2</v>
      </c>
    </row>
    <row r="63" spans="1:32" ht="250" customHeight="1" x14ac:dyDescent="0.35">
      <c r="A63" s="2" t="s">
        <v>228</v>
      </c>
      <c r="B63" s="5">
        <v>271</v>
      </c>
      <c r="C63" s="2" t="s">
        <v>229</v>
      </c>
      <c r="D63" s="1" t="s">
        <v>31</v>
      </c>
      <c r="F63" s="2" t="s">
        <v>234</v>
      </c>
      <c r="G63" s="1" t="s">
        <v>1144</v>
      </c>
      <c r="H63" s="1" t="s">
        <v>31</v>
      </c>
      <c r="I63" s="1" t="s">
        <v>230</v>
      </c>
      <c r="J63" s="2" t="s">
        <v>231</v>
      </c>
      <c r="K63" s="2" t="s">
        <v>232</v>
      </c>
      <c r="L63" s="3"/>
      <c r="M63" s="3">
        <v>2</v>
      </c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 t="s">
        <v>233</v>
      </c>
      <c r="AB63" s="6" t="str">
        <f>HYPERLINK(_xlfn.CONCAT("https://www.google.com/maps/search/",Tabela1[[#This Row],[GPS]]),"##")</f>
        <v>##</v>
      </c>
      <c r="AC63" s="3" t="str">
        <f>_xlfn.CONCAT("https://raw.githubusercontent.com/marcelo-pascoal/Semaforos/refs/heads/main/fotosD/",Tabela1[[#This Row],[Foto1]])</f>
        <v>https://raw.githubusercontent.com/marcelo-pascoal/Semaforos/refs/heads/main/fotosD/DSCF7026.JPG</v>
      </c>
      <c r="AD63" s="3" t="str">
        <f>_xlfn.CONCAT("https://raw.githubusercontent.com/marcelo-pascoal/Semaforos/refs/heads/main/fotos/",Tabela1[[#This Row],[id_0]],".jpg")</f>
        <v>https://raw.githubusercontent.com/marcelo-pascoal/Semaforos/refs/heads/main/fotos/271.jpg</v>
      </c>
      <c r="AE63" s="3" t="str">
        <f>_xlfn.CONCAT("https://raw.githubusercontent.com/marcelo-pascoal/Semaforos/refs/heads/main/fotosD/",Tabela1[[#This Row],[id_0]],".jpg")</f>
        <v>https://raw.githubusercontent.com/marcelo-pascoal/Semaforos/refs/heads/main/fotosD/271.jpg</v>
      </c>
      <c r="AF63" s="3">
        <v>2</v>
      </c>
    </row>
    <row r="64" spans="1:32" ht="250" customHeight="1" x14ac:dyDescent="0.35">
      <c r="A64" s="2" t="s">
        <v>228</v>
      </c>
      <c r="B64" s="5">
        <v>272</v>
      </c>
      <c r="C64" s="2" t="s">
        <v>235</v>
      </c>
      <c r="D64" s="1" t="s">
        <v>60</v>
      </c>
      <c r="F64" s="2" t="s">
        <v>237</v>
      </c>
      <c r="G64" s="1" t="s">
        <v>1145</v>
      </c>
      <c r="H64" s="1" t="s">
        <v>1146</v>
      </c>
      <c r="I64" s="1" t="s">
        <v>236</v>
      </c>
      <c r="J64" s="2" t="s">
        <v>231</v>
      </c>
      <c r="K64" s="2" t="s">
        <v>232</v>
      </c>
      <c r="L64" s="3">
        <v>1</v>
      </c>
      <c r="M64" s="3"/>
      <c r="N64" s="3"/>
      <c r="O64" s="3">
        <v>1</v>
      </c>
      <c r="P64" s="3">
        <v>2</v>
      </c>
      <c r="Q64" s="3">
        <v>2</v>
      </c>
      <c r="R64" s="3"/>
      <c r="S64" s="3"/>
      <c r="T64" s="3"/>
      <c r="U64" s="3">
        <v>1</v>
      </c>
      <c r="V64" s="3">
        <v>1</v>
      </c>
      <c r="W64" s="3" t="s">
        <v>40</v>
      </c>
      <c r="X64" s="3"/>
      <c r="Y64" s="3"/>
      <c r="Z64" s="3"/>
      <c r="AA64" s="3" t="s">
        <v>35</v>
      </c>
      <c r="AB64" s="6" t="str">
        <f>HYPERLINK(_xlfn.CONCAT("https://www.google.com/maps/search/",Tabela1[[#This Row],[GPS]]),"##")</f>
        <v>##</v>
      </c>
      <c r="AC64" s="3" t="str">
        <f>_xlfn.CONCAT("https://raw.githubusercontent.com/marcelo-pascoal/Semaforos/refs/heads/main/fotosD/",Tabela1[[#This Row],[Foto1]])</f>
        <v>https://raw.githubusercontent.com/marcelo-pascoal/Semaforos/refs/heads/main/fotosD/DSCF7024.JPG</v>
      </c>
      <c r="AD64" s="3" t="str">
        <f>_xlfn.CONCAT("https://raw.githubusercontent.com/marcelo-pascoal/Semaforos/refs/heads/main/fotos/",Tabela1[[#This Row],[id_0]],".jpg")</f>
        <v>https://raw.githubusercontent.com/marcelo-pascoal/Semaforos/refs/heads/main/fotos/272.jpg</v>
      </c>
      <c r="AE64" s="3" t="str">
        <f>_xlfn.CONCAT("https://raw.githubusercontent.com/marcelo-pascoal/Semaforos/refs/heads/main/fotosD/",Tabela1[[#This Row],[id_0]],".jpg")</f>
        <v>https://raw.githubusercontent.com/marcelo-pascoal/Semaforos/refs/heads/main/fotosD/272.jpg</v>
      </c>
      <c r="AF64" s="3">
        <v>2</v>
      </c>
    </row>
    <row r="65" spans="1:32" ht="250" customHeight="1" x14ac:dyDescent="0.35">
      <c r="A65" s="2" t="s">
        <v>228</v>
      </c>
      <c r="B65" s="5">
        <v>273</v>
      </c>
      <c r="C65" s="2" t="s">
        <v>238</v>
      </c>
      <c r="D65" s="1" t="s">
        <v>38</v>
      </c>
      <c r="F65" s="2" t="s">
        <v>241</v>
      </c>
      <c r="G65" s="1" t="s">
        <v>1144</v>
      </c>
      <c r="H65" s="1" t="s">
        <v>1146</v>
      </c>
      <c r="I65" s="1" t="s">
        <v>239</v>
      </c>
      <c r="J65" s="2" t="s">
        <v>240</v>
      </c>
      <c r="K65" s="2" t="s">
        <v>232</v>
      </c>
      <c r="L65" s="3"/>
      <c r="M65" s="3"/>
      <c r="N65" s="3"/>
      <c r="O65" s="3">
        <v>1</v>
      </c>
      <c r="P65" s="3">
        <v>1</v>
      </c>
      <c r="Q65" s="3">
        <v>1</v>
      </c>
      <c r="R65" s="3">
        <v>1</v>
      </c>
      <c r="S65" s="3">
        <v>1</v>
      </c>
      <c r="T65" s="3">
        <v>1</v>
      </c>
      <c r="U65" s="3"/>
      <c r="V65" s="3"/>
      <c r="W65" s="3"/>
      <c r="X65" s="3"/>
      <c r="Y65" s="3"/>
      <c r="Z65" s="3"/>
      <c r="AA65" s="3" t="s">
        <v>35</v>
      </c>
      <c r="AB65" s="6" t="str">
        <f>HYPERLINK(_xlfn.CONCAT("https://www.google.com/maps/search/",Tabela1[[#This Row],[GPS]]),"##")</f>
        <v>##</v>
      </c>
      <c r="AC65" s="3" t="str">
        <f>_xlfn.CONCAT("https://raw.githubusercontent.com/marcelo-pascoal/Semaforos/refs/heads/main/fotosD/",Tabela1[[#This Row],[Foto1]])</f>
        <v>https://raw.githubusercontent.com/marcelo-pascoal/Semaforos/refs/heads/main/fotosD/DSCF7020.JPG</v>
      </c>
      <c r="AD65" s="3" t="str">
        <f>_xlfn.CONCAT("https://raw.githubusercontent.com/marcelo-pascoal/Semaforos/refs/heads/main/fotos/",Tabela1[[#This Row],[id_0]],".jpg")</f>
        <v>https://raw.githubusercontent.com/marcelo-pascoal/Semaforos/refs/heads/main/fotos/273.jpg</v>
      </c>
      <c r="AE65" s="3" t="str">
        <f>_xlfn.CONCAT("https://raw.githubusercontent.com/marcelo-pascoal/Semaforos/refs/heads/main/fotosD/",Tabela1[[#This Row],[id_0]],".jpg")</f>
        <v>https://raw.githubusercontent.com/marcelo-pascoal/Semaforos/refs/heads/main/fotosD/273.jpg</v>
      </c>
      <c r="AF65" s="3">
        <v>1</v>
      </c>
    </row>
    <row r="66" spans="1:32" ht="250" customHeight="1" x14ac:dyDescent="0.35">
      <c r="A66" s="2" t="s">
        <v>228</v>
      </c>
      <c r="B66" s="5">
        <v>274</v>
      </c>
      <c r="C66" s="2" t="s">
        <v>242</v>
      </c>
      <c r="D66" s="1" t="s">
        <v>38</v>
      </c>
      <c r="F66" s="2" t="s">
        <v>244</v>
      </c>
      <c r="G66" s="1" t="s">
        <v>1144</v>
      </c>
      <c r="H66" s="1" t="s">
        <v>1146</v>
      </c>
      <c r="I66" s="1" t="s">
        <v>243</v>
      </c>
      <c r="J66" s="2" t="s">
        <v>240</v>
      </c>
      <c r="K66" s="2" t="s">
        <v>232</v>
      </c>
      <c r="L66" s="3"/>
      <c r="M66" s="3"/>
      <c r="N66" s="3"/>
      <c r="O66" s="3">
        <v>1</v>
      </c>
      <c r="P66" s="3">
        <v>2</v>
      </c>
      <c r="Q66" s="3">
        <v>1</v>
      </c>
      <c r="R66" s="3">
        <v>1</v>
      </c>
      <c r="S66" s="3">
        <v>1</v>
      </c>
      <c r="T66" s="3">
        <v>1</v>
      </c>
      <c r="U66" s="3"/>
      <c r="V66" s="3"/>
      <c r="W66" s="3"/>
      <c r="X66" s="3"/>
      <c r="Y66" s="3"/>
      <c r="Z66" s="3"/>
      <c r="AA66" s="3" t="s">
        <v>35</v>
      </c>
      <c r="AB66" s="6" t="str">
        <f>HYPERLINK(_xlfn.CONCAT("https://www.google.com/maps/search/",Tabela1[[#This Row],[GPS]]),"##")</f>
        <v>##</v>
      </c>
      <c r="AC66" s="3" t="str">
        <f>_xlfn.CONCAT("https://raw.githubusercontent.com/marcelo-pascoal/Semaforos/refs/heads/main/fotosD/",Tabela1[[#This Row],[Foto1]])</f>
        <v>https://raw.githubusercontent.com/marcelo-pascoal/Semaforos/refs/heads/main/fotosD/DSCF7021.JPG</v>
      </c>
      <c r="AD66" s="3" t="str">
        <f>_xlfn.CONCAT("https://raw.githubusercontent.com/marcelo-pascoal/Semaforos/refs/heads/main/fotos/",Tabela1[[#This Row],[id_0]],".jpg")</f>
        <v>https://raw.githubusercontent.com/marcelo-pascoal/Semaforos/refs/heads/main/fotos/274.jpg</v>
      </c>
      <c r="AE66" s="3" t="str">
        <f>_xlfn.CONCAT("https://raw.githubusercontent.com/marcelo-pascoal/Semaforos/refs/heads/main/fotosD/",Tabela1[[#This Row],[id_0]],".jpg")</f>
        <v>https://raw.githubusercontent.com/marcelo-pascoal/Semaforos/refs/heads/main/fotosD/274.jpg</v>
      </c>
      <c r="AF66" s="3">
        <v>2</v>
      </c>
    </row>
    <row r="67" spans="1:32" ht="250" customHeight="1" x14ac:dyDescent="0.35">
      <c r="A67" s="2" t="s">
        <v>228</v>
      </c>
      <c r="B67" s="5">
        <v>275</v>
      </c>
      <c r="C67" s="2" t="s">
        <v>245</v>
      </c>
      <c r="D67" s="1" t="s">
        <v>60</v>
      </c>
      <c r="F67" s="2" t="s">
        <v>247</v>
      </c>
      <c r="G67" s="1" t="s">
        <v>1145</v>
      </c>
      <c r="H67" s="1" t="s">
        <v>1146</v>
      </c>
      <c r="I67" s="1" t="s">
        <v>246</v>
      </c>
      <c r="J67" s="2" t="s">
        <v>231</v>
      </c>
      <c r="K67" s="2" t="s">
        <v>34</v>
      </c>
      <c r="L67" s="3">
        <v>1</v>
      </c>
      <c r="M67" s="3"/>
      <c r="N67" s="3"/>
      <c r="O67" s="3">
        <v>1</v>
      </c>
      <c r="P67" s="3">
        <v>3</v>
      </c>
      <c r="Q67" s="3">
        <v>2</v>
      </c>
      <c r="R67" s="3"/>
      <c r="S67" s="3"/>
      <c r="T67" s="3"/>
      <c r="U67" s="3"/>
      <c r="V67" s="3"/>
      <c r="W67" s="3"/>
      <c r="X67" s="3"/>
      <c r="Y67" s="3"/>
      <c r="Z67" s="3"/>
      <c r="AA67" s="3" t="s">
        <v>35</v>
      </c>
      <c r="AB67" s="6" t="str">
        <f>HYPERLINK(_xlfn.CONCAT("https://www.google.com/maps/search/",Tabela1[[#This Row],[GPS]]),"##")</f>
        <v>##</v>
      </c>
      <c r="AC67" s="3" t="str">
        <f>_xlfn.CONCAT("https://raw.githubusercontent.com/marcelo-pascoal/Semaforos/refs/heads/main/fotosD/",Tabela1[[#This Row],[Foto1]])</f>
        <v>https://raw.githubusercontent.com/marcelo-pascoal/Semaforos/refs/heads/main/fotosD/DSCF7015.JPG</v>
      </c>
      <c r="AD67" s="3" t="str">
        <f>_xlfn.CONCAT("https://raw.githubusercontent.com/marcelo-pascoal/Semaforos/refs/heads/main/fotos/",Tabela1[[#This Row],[id_0]],".jpg")</f>
        <v>https://raw.githubusercontent.com/marcelo-pascoal/Semaforos/refs/heads/main/fotos/275.jpg</v>
      </c>
      <c r="AE67" s="3" t="str">
        <f>_xlfn.CONCAT("https://raw.githubusercontent.com/marcelo-pascoal/Semaforos/refs/heads/main/fotosD/",Tabela1[[#This Row],[id_0]],".jpg")</f>
        <v>https://raw.githubusercontent.com/marcelo-pascoal/Semaforos/refs/heads/main/fotosD/275.jpg</v>
      </c>
      <c r="AF67" s="3">
        <v>1</v>
      </c>
    </row>
    <row r="68" spans="1:32" ht="250" customHeight="1" x14ac:dyDescent="0.35">
      <c r="A68" s="2" t="s">
        <v>228</v>
      </c>
      <c r="B68" s="5">
        <v>276</v>
      </c>
      <c r="C68" s="2" t="s">
        <v>248</v>
      </c>
      <c r="D68" s="1" t="s">
        <v>31</v>
      </c>
      <c r="F68" s="2" t="s">
        <v>250</v>
      </c>
      <c r="G68" s="1" t="s">
        <v>1144</v>
      </c>
      <c r="H68" s="1" t="s">
        <v>31</v>
      </c>
      <c r="I68" s="1" t="s">
        <v>249</v>
      </c>
      <c r="J68" s="2" t="s">
        <v>231</v>
      </c>
      <c r="K68" s="2" t="s">
        <v>34</v>
      </c>
      <c r="L68" s="3"/>
      <c r="M68" s="3">
        <v>2</v>
      </c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 t="s">
        <v>35</v>
      </c>
      <c r="AB68" s="6" t="str">
        <f>HYPERLINK(_xlfn.CONCAT("https://www.google.com/maps/search/",Tabela1[[#This Row],[GPS]]),"##")</f>
        <v>##</v>
      </c>
      <c r="AC68" s="3" t="str">
        <f>_xlfn.CONCAT("https://raw.githubusercontent.com/marcelo-pascoal/Semaforos/refs/heads/main/fotosD/",Tabela1[[#This Row],[Foto1]])</f>
        <v>https://raw.githubusercontent.com/marcelo-pascoal/Semaforos/refs/heads/main/fotosD/DSCF7011.JPG</v>
      </c>
      <c r="AD68" s="3" t="str">
        <f>_xlfn.CONCAT("https://raw.githubusercontent.com/marcelo-pascoal/Semaforos/refs/heads/main/fotos/",Tabela1[[#This Row],[id_0]],".jpg")</f>
        <v>https://raw.githubusercontent.com/marcelo-pascoal/Semaforos/refs/heads/main/fotos/276.jpg</v>
      </c>
      <c r="AE68" s="3" t="str">
        <f>_xlfn.CONCAT("https://raw.githubusercontent.com/marcelo-pascoal/Semaforos/refs/heads/main/fotosD/",Tabela1[[#This Row],[id_0]],".jpg")</f>
        <v>https://raw.githubusercontent.com/marcelo-pascoal/Semaforos/refs/heads/main/fotosD/276.jpg</v>
      </c>
      <c r="AF68" s="3">
        <v>1</v>
      </c>
    </row>
    <row r="69" spans="1:32" ht="250" customHeight="1" x14ac:dyDescent="0.35">
      <c r="A69" s="2" t="s">
        <v>228</v>
      </c>
      <c r="B69" s="5">
        <v>448</v>
      </c>
      <c r="C69" s="2" t="s">
        <v>251</v>
      </c>
      <c r="D69" s="1" t="s">
        <v>38</v>
      </c>
      <c r="F69" s="2" t="s">
        <v>253</v>
      </c>
      <c r="G69" s="1" t="s">
        <v>1144</v>
      </c>
      <c r="H69" s="1" t="s">
        <v>1146</v>
      </c>
      <c r="I69" s="1" t="s">
        <v>252</v>
      </c>
      <c r="J69" s="2" t="s">
        <v>231</v>
      </c>
      <c r="K69" s="2" t="s">
        <v>34</v>
      </c>
      <c r="L69" s="3"/>
      <c r="M69" s="3"/>
      <c r="N69" s="3"/>
      <c r="O69" s="3"/>
      <c r="P69" s="3">
        <v>1</v>
      </c>
      <c r="Q69" s="3"/>
      <c r="R69" s="3"/>
      <c r="S69" s="3"/>
      <c r="T69" s="3"/>
      <c r="U69" s="3">
        <v>1</v>
      </c>
      <c r="V69" s="3">
        <v>1</v>
      </c>
      <c r="W69" s="3" t="s">
        <v>40</v>
      </c>
      <c r="X69" s="3"/>
      <c r="Y69" s="3"/>
      <c r="Z69" s="3"/>
      <c r="AA69" s="3" t="s">
        <v>35</v>
      </c>
      <c r="AB69" s="6" t="str">
        <f>HYPERLINK(_xlfn.CONCAT("https://www.google.com/maps/search/",Tabela1[[#This Row],[GPS]]),"##")</f>
        <v>##</v>
      </c>
      <c r="AC69" s="3" t="str">
        <f>_xlfn.CONCAT("https://raw.githubusercontent.com/marcelo-pascoal/Semaforos/refs/heads/main/fotosD/",Tabela1[[#This Row],[Foto1]])</f>
        <v>https://raw.githubusercontent.com/marcelo-pascoal/Semaforos/refs/heads/main/fotosD/DSCF7023.JPG</v>
      </c>
      <c r="AD69" s="3" t="str">
        <f>_xlfn.CONCAT("https://raw.githubusercontent.com/marcelo-pascoal/Semaforos/refs/heads/main/fotos/",Tabela1[[#This Row],[id_0]],".jpg")</f>
        <v>https://raw.githubusercontent.com/marcelo-pascoal/Semaforos/refs/heads/main/fotos/448.jpg</v>
      </c>
      <c r="AE69" s="3" t="str">
        <f>_xlfn.CONCAT("https://raw.githubusercontent.com/marcelo-pascoal/Semaforos/refs/heads/main/fotosD/",Tabela1[[#This Row],[id_0]],".jpg")</f>
        <v>https://raw.githubusercontent.com/marcelo-pascoal/Semaforos/refs/heads/main/fotosD/448.jpg</v>
      </c>
      <c r="AF69" s="3">
        <v>2</v>
      </c>
    </row>
    <row r="70" spans="1:32" ht="250" customHeight="1" x14ac:dyDescent="0.35">
      <c r="A70" s="2" t="s">
        <v>254</v>
      </c>
      <c r="B70" s="5">
        <v>268</v>
      </c>
      <c r="C70" s="2" t="s">
        <v>255</v>
      </c>
      <c r="D70" s="1" t="s">
        <v>60</v>
      </c>
      <c r="F70" s="2" t="s">
        <v>258</v>
      </c>
      <c r="G70" s="1" t="s">
        <v>1145</v>
      </c>
      <c r="H70" s="1" t="s">
        <v>1146</v>
      </c>
      <c r="I70" s="1" t="s">
        <v>256</v>
      </c>
      <c r="J70" s="2" t="s">
        <v>257</v>
      </c>
      <c r="K70" s="2" t="s">
        <v>232</v>
      </c>
      <c r="L70" s="3">
        <v>1</v>
      </c>
      <c r="M70" s="3"/>
      <c r="N70" s="3"/>
      <c r="O70" s="3">
        <v>1</v>
      </c>
      <c r="P70" s="3">
        <v>2</v>
      </c>
      <c r="Q70" s="3">
        <v>2</v>
      </c>
      <c r="R70" s="3"/>
      <c r="S70" s="3"/>
      <c r="T70" s="3"/>
      <c r="U70" s="3"/>
      <c r="V70" s="3"/>
      <c r="W70" s="3"/>
      <c r="X70" s="3"/>
      <c r="Y70" s="3" t="s">
        <v>40</v>
      </c>
      <c r="Z70" s="3"/>
      <c r="AA70" s="3" t="s">
        <v>233</v>
      </c>
      <c r="AB70" s="6" t="str">
        <f>HYPERLINK(_xlfn.CONCAT("https://www.google.com/maps/search/",Tabela1[[#This Row],[GPS]]),"##")</f>
        <v>##</v>
      </c>
      <c r="AC70" s="3" t="str">
        <f>_xlfn.CONCAT("https://raw.githubusercontent.com/marcelo-pascoal/Semaforos/refs/heads/main/fotosD/",Tabela1[[#This Row],[Foto1]])</f>
        <v>https://raw.githubusercontent.com/marcelo-pascoal/Semaforos/refs/heads/main/fotosD/DSCF7037.JPG</v>
      </c>
      <c r="AD70" s="3" t="str">
        <f>_xlfn.CONCAT("https://raw.githubusercontent.com/marcelo-pascoal/Semaforos/refs/heads/main/fotos/",Tabela1[[#This Row],[id_0]],".jpg")</f>
        <v>https://raw.githubusercontent.com/marcelo-pascoal/Semaforos/refs/heads/main/fotos/268.jpg</v>
      </c>
      <c r="AE70" s="3" t="str">
        <f>_xlfn.CONCAT("https://raw.githubusercontent.com/marcelo-pascoal/Semaforos/refs/heads/main/fotosD/",Tabela1[[#This Row],[id_0]],".jpg")</f>
        <v>https://raw.githubusercontent.com/marcelo-pascoal/Semaforos/refs/heads/main/fotosD/268.jpg</v>
      </c>
      <c r="AF70" s="3">
        <v>2</v>
      </c>
    </row>
    <row r="71" spans="1:32" ht="250" customHeight="1" x14ac:dyDescent="0.35">
      <c r="A71" s="2" t="s">
        <v>254</v>
      </c>
      <c r="B71" s="5">
        <v>269</v>
      </c>
      <c r="C71" s="2" t="s">
        <v>259</v>
      </c>
      <c r="D71" s="1" t="s">
        <v>60</v>
      </c>
      <c r="E71" s="2" t="s">
        <v>1147</v>
      </c>
      <c r="F71" s="2" t="s">
        <v>261</v>
      </c>
      <c r="G71" s="1" t="s">
        <v>1145</v>
      </c>
      <c r="H71" s="1" t="s">
        <v>1146</v>
      </c>
      <c r="I71" s="1" t="s">
        <v>260</v>
      </c>
      <c r="J71" s="2" t="s">
        <v>257</v>
      </c>
      <c r="K71" s="2" t="s">
        <v>232</v>
      </c>
      <c r="L71" s="3">
        <v>1</v>
      </c>
      <c r="M71" s="3"/>
      <c r="N71" s="3"/>
      <c r="O71" s="3">
        <v>1</v>
      </c>
      <c r="P71" s="3">
        <v>2</v>
      </c>
      <c r="Q71" s="3">
        <v>2</v>
      </c>
      <c r="R71" s="3">
        <v>1</v>
      </c>
      <c r="S71" s="3">
        <v>1</v>
      </c>
      <c r="T71" s="3">
        <v>1</v>
      </c>
      <c r="U71" s="3"/>
      <c r="V71" s="3"/>
      <c r="W71" s="3"/>
      <c r="X71" s="3"/>
      <c r="Y71" s="3" t="s">
        <v>40</v>
      </c>
      <c r="Z71" s="3"/>
      <c r="AA71" s="3" t="s">
        <v>35</v>
      </c>
      <c r="AB71" s="6" t="str">
        <f>HYPERLINK(_xlfn.CONCAT("https://www.google.com/maps/search/",Tabela1[[#This Row],[GPS]]),"##")</f>
        <v>##</v>
      </c>
      <c r="AC71" s="3" t="str">
        <f>_xlfn.CONCAT("https://raw.githubusercontent.com/marcelo-pascoal/Semaforos/refs/heads/main/fotosD/",Tabela1[[#This Row],[Foto1]])</f>
        <v>https://raw.githubusercontent.com/marcelo-pascoal/Semaforos/refs/heads/main/fotosD/DSCF7046.JPG</v>
      </c>
      <c r="AD71" s="3" t="str">
        <f>_xlfn.CONCAT("https://raw.githubusercontent.com/marcelo-pascoal/Semaforos/refs/heads/main/fotos/",Tabela1[[#This Row],[id_0]],".jpg")</f>
        <v>https://raw.githubusercontent.com/marcelo-pascoal/Semaforos/refs/heads/main/fotos/269.jpg</v>
      </c>
      <c r="AE71" s="3" t="str">
        <f>_xlfn.CONCAT("https://raw.githubusercontent.com/marcelo-pascoal/Semaforos/refs/heads/main/fotosD/",Tabela1[[#This Row],[id_0]],".jpg")</f>
        <v>https://raw.githubusercontent.com/marcelo-pascoal/Semaforos/refs/heads/main/fotosD/269.jpg</v>
      </c>
      <c r="AF71" s="3">
        <v>2</v>
      </c>
    </row>
    <row r="72" spans="1:32" ht="250" customHeight="1" x14ac:dyDescent="0.35">
      <c r="A72" s="2" t="s">
        <v>254</v>
      </c>
      <c r="B72" s="5">
        <v>270</v>
      </c>
      <c r="C72" s="2" t="s">
        <v>262</v>
      </c>
      <c r="D72" s="1" t="s">
        <v>60</v>
      </c>
      <c r="F72" s="2" t="s">
        <v>264</v>
      </c>
      <c r="G72" s="1" t="s">
        <v>1145</v>
      </c>
      <c r="H72" s="1" t="s">
        <v>1146</v>
      </c>
      <c r="I72" s="1" t="s">
        <v>263</v>
      </c>
      <c r="J72" s="2" t="s">
        <v>257</v>
      </c>
      <c r="K72" s="2" t="s">
        <v>232</v>
      </c>
      <c r="L72" s="3">
        <v>1</v>
      </c>
      <c r="M72" s="3"/>
      <c r="N72" s="3"/>
      <c r="O72" s="3">
        <v>1</v>
      </c>
      <c r="P72" s="3">
        <v>2</v>
      </c>
      <c r="Q72" s="3">
        <v>2</v>
      </c>
      <c r="R72" s="3">
        <v>1</v>
      </c>
      <c r="S72" s="3">
        <v>1</v>
      </c>
      <c r="T72" s="3">
        <v>1</v>
      </c>
      <c r="U72" s="3"/>
      <c r="V72" s="3"/>
      <c r="W72" s="3"/>
      <c r="X72" s="3"/>
      <c r="Y72" s="3" t="s">
        <v>40</v>
      </c>
      <c r="Z72" s="3"/>
      <c r="AA72" s="3" t="s">
        <v>35</v>
      </c>
      <c r="AB72" s="6" t="str">
        <f>HYPERLINK(_xlfn.CONCAT("https://www.google.com/maps/search/",Tabela1[[#This Row],[GPS]]),"##")</f>
        <v>##</v>
      </c>
      <c r="AC72" s="3" t="str">
        <f>_xlfn.CONCAT("https://raw.githubusercontent.com/marcelo-pascoal/Semaforos/refs/heads/main/fotosD/",Tabela1[[#This Row],[Foto1]])</f>
        <v>https://raw.githubusercontent.com/marcelo-pascoal/Semaforos/refs/heads/main/fotosD/DSCF7040.JPG</v>
      </c>
      <c r="AD72" s="3" t="str">
        <f>_xlfn.CONCAT("https://raw.githubusercontent.com/marcelo-pascoal/Semaforos/refs/heads/main/fotos/",Tabela1[[#This Row],[id_0]],".jpg")</f>
        <v>https://raw.githubusercontent.com/marcelo-pascoal/Semaforos/refs/heads/main/fotos/270.jpg</v>
      </c>
      <c r="AE72" s="3" t="str">
        <f>_xlfn.CONCAT("https://raw.githubusercontent.com/marcelo-pascoal/Semaforos/refs/heads/main/fotosD/",Tabela1[[#This Row],[id_0]],".jpg")</f>
        <v>https://raw.githubusercontent.com/marcelo-pascoal/Semaforos/refs/heads/main/fotosD/270.jpg</v>
      </c>
      <c r="AF72" s="3">
        <v>2</v>
      </c>
    </row>
    <row r="73" spans="1:32" ht="250" customHeight="1" x14ac:dyDescent="0.35">
      <c r="A73" s="2" t="s">
        <v>265</v>
      </c>
      <c r="B73" s="5">
        <v>265</v>
      </c>
      <c r="C73" s="2" t="s">
        <v>266</v>
      </c>
      <c r="D73" s="1" t="s">
        <v>60</v>
      </c>
      <c r="E73" s="2" t="s">
        <v>1147</v>
      </c>
      <c r="F73" s="2" t="s">
        <v>269</v>
      </c>
      <c r="G73" s="1" t="s">
        <v>1145</v>
      </c>
      <c r="H73" s="1" t="s">
        <v>1146</v>
      </c>
      <c r="I73" s="1" t="s">
        <v>267</v>
      </c>
      <c r="J73" s="2" t="s">
        <v>268</v>
      </c>
      <c r="K73" s="2" t="s">
        <v>232</v>
      </c>
      <c r="L73" s="3">
        <v>1</v>
      </c>
      <c r="M73" s="3"/>
      <c r="N73" s="3"/>
      <c r="O73" s="3">
        <v>1</v>
      </c>
      <c r="P73" s="3">
        <v>2</v>
      </c>
      <c r="Q73" s="3">
        <v>2</v>
      </c>
      <c r="R73" s="3"/>
      <c r="S73" s="3"/>
      <c r="T73" s="3"/>
      <c r="U73" s="3"/>
      <c r="V73" s="3">
        <v>1</v>
      </c>
      <c r="W73" s="3" t="s">
        <v>40</v>
      </c>
      <c r="X73" s="3" t="s">
        <v>40</v>
      </c>
      <c r="Y73" s="3"/>
      <c r="Z73" s="3"/>
      <c r="AA73" s="3" t="s">
        <v>35</v>
      </c>
      <c r="AB73" s="6" t="str">
        <f>HYPERLINK(_xlfn.CONCAT("https://www.google.com/maps/search/",Tabela1[[#This Row],[GPS]]),"##")</f>
        <v>##</v>
      </c>
      <c r="AC73" s="3" t="str">
        <f>_xlfn.CONCAT("https://raw.githubusercontent.com/marcelo-pascoal/Semaforos/refs/heads/main/fotosD/",Tabela1[[#This Row],[Foto1]])</f>
        <v>https://raw.githubusercontent.com/marcelo-pascoal/Semaforos/refs/heads/main/fotosD/DSCF7067.JPG</v>
      </c>
      <c r="AD73" s="3" t="str">
        <f>_xlfn.CONCAT("https://raw.githubusercontent.com/marcelo-pascoal/Semaforos/refs/heads/main/fotos/",Tabela1[[#This Row],[id_0]],".jpg")</f>
        <v>https://raw.githubusercontent.com/marcelo-pascoal/Semaforos/refs/heads/main/fotos/265.jpg</v>
      </c>
      <c r="AE73" s="3" t="str">
        <f>_xlfn.CONCAT("https://raw.githubusercontent.com/marcelo-pascoal/Semaforos/refs/heads/main/fotosD/",Tabela1[[#This Row],[id_0]],".jpg")</f>
        <v>https://raw.githubusercontent.com/marcelo-pascoal/Semaforos/refs/heads/main/fotosD/265.jpg</v>
      </c>
      <c r="AF73" s="3">
        <v>5</v>
      </c>
    </row>
    <row r="74" spans="1:32" ht="250" customHeight="1" x14ac:dyDescent="0.35">
      <c r="A74" s="2" t="s">
        <v>265</v>
      </c>
      <c r="B74" s="5">
        <v>266</v>
      </c>
      <c r="C74" s="2" t="s">
        <v>270</v>
      </c>
      <c r="D74" s="1" t="s">
        <v>60</v>
      </c>
      <c r="E74" s="2" t="s">
        <v>1147</v>
      </c>
      <c r="F74" s="2" t="s">
        <v>272</v>
      </c>
      <c r="G74" s="1" t="s">
        <v>1145</v>
      </c>
      <c r="H74" s="1" t="s">
        <v>1146</v>
      </c>
      <c r="I74" s="1" t="s">
        <v>271</v>
      </c>
      <c r="J74" s="2" t="s">
        <v>268</v>
      </c>
      <c r="K74" s="2" t="s">
        <v>232</v>
      </c>
      <c r="L74" s="3">
        <v>1</v>
      </c>
      <c r="M74" s="3"/>
      <c r="N74" s="3"/>
      <c r="O74" s="3">
        <v>1</v>
      </c>
      <c r="P74" s="3">
        <v>3</v>
      </c>
      <c r="Q74" s="3">
        <v>2</v>
      </c>
      <c r="R74" s="3"/>
      <c r="S74" s="3"/>
      <c r="T74" s="3"/>
      <c r="U74" s="3">
        <v>1</v>
      </c>
      <c r="V74" s="3">
        <v>1</v>
      </c>
      <c r="W74" s="3" t="s">
        <v>40</v>
      </c>
      <c r="X74" s="3" t="s">
        <v>40</v>
      </c>
      <c r="Y74" s="3"/>
      <c r="Z74" s="3"/>
      <c r="AA74" s="3" t="s">
        <v>35</v>
      </c>
      <c r="AB74" s="6" t="str">
        <f>HYPERLINK(_xlfn.CONCAT("https://www.google.com/maps/search/",Tabela1[[#This Row],[GPS]]),"##")</f>
        <v>##</v>
      </c>
      <c r="AC74" s="3" t="str">
        <f>_xlfn.CONCAT("https://raw.githubusercontent.com/marcelo-pascoal/Semaforos/refs/heads/main/fotosD/",Tabela1[[#This Row],[Foto1]])</f>
        <v>https://raw.githubusercontent.com/marcelo-pascoal/Semaforos/refs/heads/main/fotosD/DSCF7056.JPG</v>
      </c>
      <c r="AD74" s="3" t="str">
        <f>_xlfn.CONCAT("https://raw.githubusercontent.com/marcelo-pascoal/Semaforos/refs/heads/main/fotos/",Tabela1[[#This Row],[id_0]],".jpg")</f>
        <v>https://raw.githubusercontent.com/marcelo-pascoal/Semaforos/refs/heads/main/fotos/266.jpg</v>
      </c>
      <c r="AE74" s="3" t="str">
        <f>_xlfn.CONCAT("https://raw.githubusercontent.com/marcelo-pascoal/Semaforos/refs/heads/main/fotosD/",Tabela1[[#This Row],[id_0]],".jpg")</f>
        <v>https://raw.githubusercontent.com/marcelo-pascoal/Semaforos/refs/heads/main/fotosD/266.jpg</v>
      </c>
      <c r="AF74" s="3">
        <v>1</v>
      </c>
    </row>
    <row r="75" spans="1:32" ht="250" customHeight="1" x14ac:dyDescent="0.35">
      <c r="A75" s="2" t="s">
        <v>265</v>
      </c>
      <c r="B75" s="5">
        <v>267</v>
      </c>
      <c r="C75" s="2" t="s">
        <v>273</v>
      </c>
      <c r="D75" s="1" t="s">
        <v>31</v>
      </c>
      <c r="F75" s="2" t="s">
        <v>276</v>
      </c>
      <c r="G75" s="1" t="s">
        <v>1144</v>
      </c>
      <c r="H75" s="1" t="s">
        <v>31</v>
      </c>
      <c r="I75" s="1" t="s">
        <v>274</v>
      </c>
      <c r="J75" s="2" t="s">
        <v>275</v>
      </c>
      <c r="K75" s="2" t="s">
        <v>232</v>
      </c>
      <c r="L75" s="3"/>
      <c r="M75" s="3">
        <v>2</v>
      </c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 t="s">
        <v>233</v>
      </c>
      <c r="AB75" s="6" t="str">
        <f>HYPERLINK(_xlfn.CONCAT("https://www.google.com/maps/search/",Tabela1[[#This Row],[GPS]]),"##")</f>
        <v>##</v>
      </c>
      <c r="AC75" s="3" t="str">
        <f>_xlfn.CONCAT("https://raw.githubusercontent.com/marcelo-pascoal/Semaforos/refs/heads/main/fotosD/",Tabela1[[#This Row],[Foto1]])</f>
        <v>https://raw.githubusercontent.com/marcelo-pascoal/Semaforos/refs/heads/main/fotosD/DSCF7054.JPG</v>
      </c>
      <c r="AD75" s="3" t="str">
        <f>_xlfn.CONCAT("https://raw.githubusercontent.com/marcelo-pascoal/Semaforos/refs/heads/main/fotos/",Tabela1[[#This Row],[id_0]],".jpg")</f>
        <v>https://raw.githubusercontent.com/marcelo-pascoal/Semaforos/refs/heads/main/fotos/267.jpg</v>
      </c>
      <c r="AE75" s="3" t="str">
        <f>_xlfn.CONCAT("https://raw.githubusercontent.com/marcelo-pascoal/Semaforos/refs/heads/main/fotosD/",Tabela1[[#This Row],[id_0]],".jpg")</f>
        <v>https://raw.githubusercontent.com/marcelo-pascoal/Semaforos/refs/heads/main/fotosD/267.jpg</v>
      </c>
      <c r="AF75" s="3">
        <v>5</v>
      </c>
    </row>
    <row r="76" spans="1:32" ht="250" customHeight="1" x14ac:dyDescent="0.35">
      <c r="A76" s="2" t="s">
        <v>265</v>
      </c>
      <c r="B76" s="5">
        <v>449</v>
      </c>
      <c r="C76" s="2" t="s">
        <v>277</v>
      </c>
      <c r="D76" s="1" t="s">
        <v>38</v>
      </c>
      <c r="E76" s="2" t="s">
        <v>1147</v>
      </c>
      <c r="F76" s="2" t="s">
        <v>279</v>
      </c>
      <c r="G76" s="1" t="s">
        <v>1144</v>
      </c>
      <c r="H76" s="1" t="s">
        <v>1146</v>
      </c>
      <c r="I76" s="1" t="s">
        <v>278</v>
      </c>
      <c r="J76" s="2" t="s">
        <v>268</v>
      </c>
      <c r="K76" s="2" t="s">
        <v>232</v>
      </c>
      <c r="L76" s="3"/>
      <c r="M76" s="3"/>
      <c r="N76" s="3"/>
      <c r="O76" s="3"/>
      <c r="P76" s="3">
        <v>1</v>
      </c>
      <c r="Q76" s="3"/>
      <c r="R76" s="3"/>
      <c r="S76" s="3"/>
      <c r="T76" s="3"/>
      <c r="U76" s="3">
        <v>1</v>
      </c>
      <c r="V76" s="3">
        <v>1</v>
      </c>
      <c r="W76" s="3" t="s">
        <v>40</v>
      </c>
      <c r="X76" s="3" t="s">
        <v>40</v>
      </c>
      <c r="Y76" s="3"/>
      <c r="Z76" s="3"/>
      <c r="AA76" s="3" t="s">
        <v>35</v>
      </c>
      <c r="AB76" s="6" t="str">
        <f>HYPERLINK(_xlfn.CONCAT("https://www.google.com/maps/search/",Tabela1[[#This Row],[GPS]]),"##")</f>
        <v>##</v>
      </c>
      <c r="AC76" s="3" t="str">
        <f>_xlfn.CONCAT("https://raw.githubusercontent.com/marcelo-pascoal/Semaforos/refs/heads/main/fotosD/",Tabela1[[#This Row],[Foto1]])</f>
        <v>https://raw.githubusercontent.com/marcelo-pascoal/Semaforos/refs/heads/main/fotosD/DSCF7058.JPG</v>
      </c>
      <c r="AD76" s="3" t="str">
        <f>_xlfn.CONCAT("https://raw.githubusercontent.com/marcelo-pascoal/Semaforos/refs/heads/main/fotos/",Tabela1[[#This Row],[id_0]],".jpg")</f>
        <v>https://raw.githubusercontent.com/marcelo-pascoal/Semaforos/refs/heads/main/fotos/449.jpg</v>
      </c>
      <c r="AE76" s="3" t="str">
        <f>_xlfn.CONCAT("https://raw.githubusercontent.com/marcelo-pascoal/Semaforos/refs/heads/main/fotosD/",Tabela1[[#This Row],[id_0]],".jpg")</f>
        <v>https://raw.githubusercontent.com/marcelo-pascoal/Semaforos/refs/heads/main/fotosD/449.jpg</v>
      </c>
      <c r="AF76" s="3">
        <v>1</v>
      </c>
    </row>
    <row r="77" spans="1:32" ht="250" customHeight="1" x14ac:dyDescent="0.35">
      <c r="A77" s="2" t="s">
        <v>265</v>
      </c>
      <c r="B77" s="5">
        <v>450</v>
      </c>
      <c r="C77" s="2" t="s">
        <v>280</v>
      </c>
      <c r="D77" s="1" t="s">
        <v>38</v>
      </c>
      <c r="E77" s="2" t="s">
        <v>1147</v>
      </c>
      <c r="F77" s="2" t="s">
        <v>283</v>
      </c>
      <c r="G77" s="1" t="s">
        <v>1144</v>
      </c>
      <c r="H77" s="1" t="s">
        <v>1146</v>
      </c>
      <c r="I77" s="1" t="s">
        <v>281</v>
      </c>
      <c r="J77" s="2" t="s">
        <v>282</v>
      </c>
      <c r="K77" s="2" t="s">
        <v>232</v>
      </c>
      <c r="L77" s="3"/>
      <c r="M77" s="3"/>
      <c r="N77" s="3"/>
      <c r="O77" s="3"/>
      <c r="P77" s="3">
        <v>2</v>
      </c>
      <c r="Q77" s="3"/>
      <c r="R77" s="3"/>
      <c r="S77" s="3"/>
      <c r="T77" s="3"/>
      <c r="U77" s="3">
        <v>1</v>
      </c>
      <c r="V77" s="3">
        <v>1</v>
      </c>
      <c r="W77" s="3" t="s">
        <v>40</v>
      </c>
      <c r="X77" s="3" t="s">
        <v>40</v>
      </c>
      <c r="Y77" s="3"/>
      <c r="Z77" s="3"/>
      <c r="AA77" s="3" t="s">
        <v>35</v>
      </c>
      <c r="AB77" s="6" t="str">
        <f>HYPERLINK(_xlfn.CONCAT("https://www.google.com/maps/search/",Tabela1[[#This Row],[GPS]]),"##")</f>
        <v>##</v>
      </c>
      <c r="AC77" s="3" t="str">
        <f>_xlfn.CONCAT("https://raw.githubusercontent.com/marcelo-pascoal/Semaforos/refs/heads/main/fotosD/",Tabela1[[#This Row],[Foto1]])</f>
        <v>https://raw.githubusercontent.com/marcelo-pascoal/Semaforos/refs/heads/main/fotosD/DSCF7065.JPG</v>
      </c>
      <c r="AD77" s="3" t="str">
        <f>_xlfn.CONCAT("https://raw.githubusercontent.com/marcelo-pascoal/Semaforos/refs/heads/main/fotos/",Tabela1[[#This Row],[id_0]],".jpg")</f>
        <v>https://raw.githubusercontent.com/marcelo-pascoal/Semaforos/refs/heads/main/fotos/450.jpg</v>
      </c>
      <c r="AE77" s="3" t="str">
        <f>_xlfn.CONCAT("https://raw.githubusercontent.com/marcelo-pascoal/Semaforos/refs/heads/main/fotosD/",Tabela1[[#This Row],[id_0]],".jpg")</f>
        <v>https://raw.githubusercontent.com/marcelo-pascoal/Semaforos/refs/heads/main/fotosD/450.jpg</v>
      </c>
      <c r="AF77" s="3">
        <v>1</v>
      </c>
    </row>
    <row r="78" spans="1:32" ht="250" customHeight="1" x14ac:dyDescent="0.35">
      <c r="A78" s="2" t="s">
        <v>265</v>
      </c>
      <c r="B78" s="5">
        <v>451</v>
      </c>
      <c r="C78" s="2" t="s">
        <v>284</v>
      </c>
      <c r="D78" s="1" t="s">
        <v>38</v>
      </c>
      <c r="F78" s="2" t="s">
        <v>286</v>
      </c>
      <c r="G78" s="1" t="s">
        <v>1144</v>
      </c>
      <c r="H78" s="1" t="s">
        <v>1146</v>
      </c>
      <c r="I78" s="1" t="s">
        <v>285</v>
      </c>
      <c r="J78" s="2" t="s">
        <v>282</v>
      </c>
      <c r="K78" s="2" t="s">
        <v>232</v>
      </c>
      <c r="L78" s="3"/>
      <c r="M78" s="3"/>
      <c r="N78" s="3"/>
      <c r="O78" s="3">
        <v>1</v>
      </c>
      <c r="P78" s="3">
        <v>1</v>
      </c>
      <c r="Q78" s="3">
        <v>1</v>
      </c>
      <c r="R78" s="3">
        <v>1</v>
      </c>
      <c r="S78" s="3">
        <v>1</v>
      </c>
      <c r="T78" s="3">
        <v>1</v>
      </c>
      <c r="U78" s="3">
        <v>1</v>
      </c>
      <c r="V78" s="3">
        <v>1</v>
      </c>
      <c r="W78" s="3" t="s">
        <v>40</v>
      </c>
      <c r="X78" s="3" t="s">
        <v>40</v>
      </c>
      <c r="Y78" s="3"/>
      <c r="Z78" s="3"/>
      <c r="AA78" s="3" t="s">
        <v>35</v>
      </c>
      <c r="AB78" s="6" t="str">
        <f>HYPERLINK(_xlfn.CONCAT("https://www.google.com/maps/search/",Tabela1[[#This Row],[GPS]]),"##")</f>
        <v>##</v>
      </c>
      <c r="AC78" s="3" t="str">
        <f>_xlfn.CONCAT("https://raw.githubusercontent.com/marcelo-pascoal/Semaforos/refs/heads/main/fotosD/",Tabela1[[#This Row],[Foto1]])</f>
        <v>https://raw.githubusercontent.com/marcelo-pascoal/Semaforos/refs/heads/main/fotosD/DSCF7062.JPG</v>
      </c>
      <c r="AD78" s="3" t="str">
        <f>_xlfn.CONCAT("https://raw.githubusercontent.com/marcelo-pascoal/Semaforos/refs/heads/main/fotos/",Tabela1[[#This Row],[id_0]],".jpg")</f>
        <v>https://raw.githubusercontent.com/marcelo-pascoal/Semaforos/refs/heads/main/fotos/451.jpg</v>
      </c>
      <c r="AE78" s="3" t="str">
        <f>_xlfn.CONCAT("https://raw.githubusercontent.com/marcelo-pascoal/Semaforos/refs/heads/main/fotosD/",Tabela1[[#This Row],[id_0]],".jpg")</f>
        <v>https://raw.githubusercontent.com/marcelo-pascoal/Semaforos/refs/heads/main/fotosD/451.jpg</v>
      </c>
      <c r="AF78" s="3">
        <v>1</v>
      </c>
    </row>
    <row r="79" spans="1:32" ht="250" customHeight="1" x14ac:dyDescent="0.35">
      <c r="A79" s="2" t="s">
        <v>265</v>
      </c>
      <c r="B79" s="5">
        <v>452</v>
      </c>
      <c r="C79" s="2" t="s">
        <v>287</v>
      </c>
      <c r="D79" s="1" t="s">
        <v>38</v>
      </c>
      <c r="E79" s="2" t="s">
        <v>1147</v>
      </c>
      <c r="F79" s="2" t="s">
        <v>289</v>
      </c>
      <c r="G79" s="1" t="s">
        <v>1144</v>
      </c>
      <c r="H79" s="1" t="s">
        <v>1146</v>
      </c>
      <c r="I79" s="1" t="s">
        <v>288</v>
      </c>
      <c r="J79" s="2" t="s">
        <v>268</v>
      </c>
      <c r="K79" s="2" t="s">
        <v>232</v>
      </c>
      <c r="L79" s="3"/>
      <c r="M79" s="3"/>
      <c r="N79" s="3"/>
      <c r="O79" s="3"/>
      <c r="P79" s="3">
        <v>1</v>
      </c>
      <c r="Q79" s="3"/>
      <c r="R79" s="3"/>
      <c r="S79" s="3"/>
      <c r="T79" s="3"/>
      <c r="U79" s="3">
        <v>1</v>
      </c>
      <c r="V79" s="3">
        <v>1</v>
      </c>
      <c r="W79" s="3" t="s">
        <v>40</v>
      </c>
      <c r="X79" s="3" t="s">
        <v>40</v>
      </c>
      <c r="Y79" s="3"/>
      <c r="Z79" s="3"/>
      <c r="AA79" s="3" t="s">
        <v>35</v>
      </c>
      <c r="AB79" s="6" t="str">
        <f>HYPERLINK(_xlfn.CONCAT("https://www.google.com/maps/search/",Tabela1[[#This Row],[GPS]]),"##")</f>
        <v>##</v>
      </c>
      <c r="AC79" s="3" t="str">
        <f>_xlfn.CONCAT("https://raw.githubusercontent.com/marcelo-pascoal/Semaforos/refs/heads/main/fotosD/",Tabela1[[#This Row],[Foto1]])</f>
        <v>https://raw.githubusercontent.com/marcelo-pascoal/Semaforos/refs/heads/main/fotosD/DSCF7071.JPG</v>
      </c>
      <c r="AD79" s="3" t="str">
        <f>_xlfn.CONCAT("https://raw.githubusercontent.com/marcelo-pascoal/Semaforos/refs/heads/main/fotos/",Tabela1[[#This Row],[id_0]],".jpg")</f>
        <v>https://raw.githubusercontent.com/marcelo-pascoal/Semaforos/refs/heads/main/fotos/452.jpg</v>
      </c>
      <c r="AE79" s="3" t="str">
        <f>_xlfn.CONCAT("https://raw.githubusercontent.com/marcelo-pascoal/Semaforos/refs/heads/main/fotosD/",Tabela1[[#This Row],[id_0]],".jpg")</f>
        <v>https://raw.githubusercontent.com/marcelo-pascoal/Semaforos/refs/heads/main/fotosD/452.jpg</v>
      </c>
      <c r="AF79" s="3">
        <v>1</v>
      </c>
    </row>
    <row r="80" spans="1:32" ht="250" customHeight="1" x14ac:dyDescent="0.35">
      <c r="A80" s="2" t="s">
        <v>290</v>
      </c>
      <c r="B80" s="5">
        <v>257</v>
      </c>
      <c r="C80" s="2" t="s">
        <v>291</v>
      </c>
      <c r="D80" s="1" t="s">
        <v>38</v>
      </c>
      <c r="F80" s="2" t="s">
        <v>294</v>
      </c>
      <c r="G80" s="1" t="s">
        <v>1144</v>
      </c>
      <c r="H80" s="1" t="s">
        <v>1146</v>
      </c>
      <c r="I80" s="1" t="s">
        <v>292</v>
      </c>
      <c r="J80" s="2" t="s">
        <v>293</v>
      </c>
      <c r="K80" s="2" t="s">
        <v>232</v>
      </c>
      <c r="L80" s="3"/>
      <c r="M80" s="3"/>
      <c r="N80" s="3"/>
      <c r="O80" s="3"/>
      <c r="P80" s="3">
        <v>2</v>
      </c>
      <c r="Q80" s="3"/>
      <c r="R80" s="3"/>
      <c r="S80" s="3"/>
      <c r="T80" s="3"/>
      <c r="U80" s="3">
        <v>1</v>
      </c>
      <c r="V80" s="3">
        <v>1</v>
      </c>
      <c r="W80" s="3" t="s">
        <v>40</v>
      </c>
      <c r="X80" s="3"/>
      <c r="Y80" s="3"/>
      <c r="Z80" s="3"/>
      <c r="AA80" s="3" t="s">
        <v>35</v>
      </c>
      <c r="AB80" s="6" t="str">
        <f>HYPERLINK(_xlfn.CONCAT("https://www.google.com/maps/search/",Tabela1[[#This Row],[GPS]]),"##")</f>
        <v>##</v>
      </c>
      <c r="AC80" s="3" t="str">
        <f>_xlfn.CONCAT("https://raw.githubusercontent.com/marcelo-pascoal/Semaforos/refs/heads/main/fotosD/",Tabela1[[#This Row],[Foto1]])</f>
        <v>https://raw.githubusercontent.com/marcelo-pascoal/Semaforos/refs/heads/main/fotosD/DSCF7082.JPG</v>
      </c>
      <c r="AD80" s="3" t="str">
        <f>_xlfn.CONCAT("https://raw.githubusercontent.com/marcelo-pascoal/Semaforos/refs/heads/main/fotos/",Tabela1[[#This Row],[id_0]],".jpg")</f>
        <v>https://raw.githubusercontent.com/marcelo-pascoal/Semaforos/refs/heads/main/fotos/257.jpg</v>
      </c>
      <c r="AE80" s="3" t="str">
        <f>_xlfn.CONCAT("https://raw.githubusercontent.com/marcelo-pascoal/Semaforos/refs/heads/main/fotosD/",Tabela1[[#This Row],[id_0]],".jpg")</f>
        <v>https://raw.githubusercontent.com/marcelo-pascoal/Semaforos/refs/heads/main/fotosD/257.jpg</v>
      </c>
      <c r="AF80" s="3">
        <v>1</v>
      </c>
    </row>
    <row r="81" spans="1:32" ht="250" customHeight="1" x14ac:dyDescent="0.35">
      <c r="A81" s="2" t="s">
        <v>290</v>
      </c>
      <c r="B81" s="5">
        <v>258</v>
      </c>
      <c r="C81" s="2" t="s">
        <v>295</v>
      </c>
      <c r="D81" s="1" t="s">
        <v>60</v>
      </c>
      <c r="E81" s="2" t="s">
        <v>1147</v>
      </c>
      <c r="F81" s="2" t="s">
        <v>298</v>
      </c>
      <c r="G81" s="1" t="s">
        <v>1145</v>
      </c>
      <c r="H81" s="1" t="s">
        <v>1146</v>
      </c>
      <c r="I81" s="1" t="s">
        <v>296</v>
      </c>
      <c r="J81" s="2" t="s">
        <v>297</v>
      </c>
      <c r="K81" s="2" t="s">
        <v>232</v>
      </c>
      <c r="L81" s="3"/>
      <c r="M81" s="3"/>
      <c r="N81" s="3"/>
      <c r="O81" s="3">
        <v>3</v>
      </c>
      <c r="P81" s="3">
        <v>3</v>
      </c>
      <c r="Q81" s="3">
        <v>3</v>
      </c>
      <c r="R81" s="3"/>
      <c r="S81" s="3"/>
      <c r="T81" s="3"/>
      <c r="U81" s="3">
        <v>1</v>
      </c>
      <c r="V81" s="3">
        <v>1</v>
      </c>
      <c r="W81" s="3" t="s">
        <v>40</v>
      </c>
      <c r="X81" s="3" t="s">
        <v>40</v>
      </c>
      <c r="Y81" s="3"/>
      <c r="Z81" s="3"/>
      <c r="AA81" s="3" t="s">
        <v>35</v>
      </c>
      <c r="AB81" s="6" t="str">
        <f>HYPERLINK(_xlfn.CONCAT("https://www.google.com/maps/search/",Tabela1[[#This Row],[GPS]]),"##")</f>
        <v>##</v>
      </c>
      <c r="AC81" s="3" t="str">
        <f>_xlfn.CONCAT("https://raw.githubusercontent.com/marcelo-pascoal/Semaforos/refs/heads/main/fotosD/",Tabela1[[#This Row],[Foto1]])</f>
        <v>https://raw.githubusercontent.com/marcelo-pascoal/Semaforos/refs/heads/main/fotosD/DSCF7090.JPG</v>
      </c>
      <c r="AD81" s="3" t="str">
        <f>_xlfn.CONCAT("https://raw.githubusercontent.com/marcelo-pascoal/Semaforos/refs/heads/main/fotos/",Tabela1[[#This Row],[id_0]],".jpg")</f>
        <v>https://raw.githubusercontent.com/marcelo-pascoal/Semaforos/refs/heads/main/fotos/258.jpg</v>
      </c>
      <c r="AE81" s="3" t="str">
        <f>_xlfn.CONCAT("https://raw.githubusercontent.com/marcelo-pascoal/Semaforos/refs/heads/main/fotosD/",Tabela1[[#This Row],[id_0]],".jpg")</f>
        <v>https://raw.githubusercontent.com/marcelo-pascoal/Semaforos/refs/heads/main/fotosD/258.jpg</v>
      </c>
      <c r="AF81" s="3">
        <v>1</v>
      </c>
    </row>
    <row r="82" spans="1:32" ht="250" customHeight="1" x14ac:dyDescent="0.35">
      <c r="A82" s="2" t="s">
        <v>290</v>
      </c>
      <c r="B82" s="5">
        <v>259</v>
      </c>
      <c r="C82" s="2" t="s">
        <v>299</v>
      </c>
      <c r="D82" s="1" t="s">
        <v>38</v>
      </c>
      <c r="E82" s="2" t="s">
        <v>1147</v>
      </c>
      <c r="F82" s="2" t="s">
        <v>301</v>
      </c>
      <c r="G82" s="1" t="s">
        <v>1144</v>
      </c>
      <c r="H82" s="1" t="s">
        <v>1146</v>
      </c>
      <c r="I82" s="1" t="s">
        <v>300</v>
      </c>
      <c r="J82" s="2" t="s">
        <v>297</v>
      </c>
      <c r="K82" s="2" t="s">
        <v>232</v>
      </c>
      <c r="L82" s="3"/>
      <c r="M82" s="3"/>
      <c r="N82" s="3"/>
      <c r="O82" s="3">
        <v>1</v>
      </c>
      <c r="P82" s="3">
        <v>1</v>
      </c>
      <c r="Q82" s="3">
        <v>1</v>
      </c>
      <c r="R82" s="3"/>
      <c r="S82" s="3"/>
      <c r="T82" s="3"/>
      <c r="U82" s="3">
        <v>1</v>
      </c>
      <c r="V82" s="3">
        <v>1</v>
      </c>
      <c r="W82" s="3" t="s">
        <v>40</v>
      </c>
      <c r="X82" s="3" t="s">
        <v>40</v>
      </c>
      <c r="Y82" s="3"/>
      <c r="Z82" s="3"/>
      <c r="AA82" s="3" t="s">
        <v>35</v>
      </c>
      <c r="AB82" s="6" t="str">
        <f>HYPERLINK(_xlfn.CONCAT("https://www.google.com/maps/search/",Tabela1[[#This Row],[GPS]]),"##")</f>
        <v>##</v>
      </c>
      <c r="AC82" s="3" t="str">
        <f>_xlfn.CONCAT("https://raw.githubusercontent.com/marcelo-pascoal/Semaforos/refs/heads/main/fotosD/",Tabela1[[#This Row],[Foto1]])</f>
        <v>https://raw.githubusercontent.com/marcelo-pascoal/Semaforos/refs/heads/main/fotosD/DSCF7099.JPG</v>
      </c>
      <c r="AD82" s="3" t="str">
        <f>_xlfn.CONCAT("https://raw.githubusercontent.com/marcelo-pascoal/Semaforos/refs/heads/main/fotos/",Tabela1[[#This Row],[id_0]],".jpg")</f>
        <v>https://raw.githubusercontent.com/marcelo-pascoal/Semaforos/refs/heads/main/fotos/259.jpg</v>
      </c>
      <c r="AE82" s="3" t="str">
        <f>_xlfn.CONCAT("https://raw.githubusercontent.com/marcelo-pascoal/Semaforos/refs/heads/main/fotosD/",Tabela1[[#This Row],[id_0]],".jpg")</f>
        <v>https://raw.githubusercontent.com/marcelo-pascoal/Semaforos/refs/heads/main/fotosD/259.jpg</v>
      </c>
      <c r="AF82" s="3">
        <v>1</v>
      </c>
    </row>
    <row r="83" spans="1:32" ht="250" customHeight="1" x14ac:dyDescent="0.35">
      <c r="A83" s="2" t="s">
        <v>290</v>
      </c>
      <c r="B83" s="5">
        <v>261</v>
      </c>
      <c r="C83" s="2" t="s">
        <v>302</v>
      </c>
      <c r="D83" s="1" t="s">
        <v>38</v>
      </c>
      <c r="E83" s="2" t="s">
        <v>1147</v>
      </c>
      <c r="F83" s="2" t="s">
        <v>305</v>
      </c>
      <c r="G83" s="1" t="s">
        <v>1144</v>
      </c>
      <c r="H83" s="1" t="s">
        <v>1146</v>
      </c>
      <c r="I83" s="1" t="s">
        <v>303</v>
      </c>
      <c r="J83" s="2" t="s">
        <v>304</v>
      </c>
      <c r="K83" s="2" t="s">
        <v>232</v>
      </c>
      <c r="L83" s="3"/>
      <c r="M83" s="3"/>
      <c r="N83" s="3"/>
      <c r="O83" s="3">
        <v>1</v>
      </c>
      <c r="P83" s="3">
        <v>3</v>
      </c>
      <c r="Q83" s="3">
        <v>1</v>
      </c>
      <c r="R83" s="3"/>
      <c r="S83" s="3"/>
      <c r="T83" s="3"/>
      <c r="U83" s="3">
        <v>1</v>
      </c>
      <c r="V83" s="3">
        <v>1</v>
      </c>
      <c r="W83" s="3" t="s">
        <v>40</v>
      </c>
      <c r="X83" s="3"/>
      <c r="Y83" s="3"/>
      <c r="Z83" s="3"/>
      <c r="AA83" s="3" t="s">
        <v>35</v>
      </c>
      <c r="AB83" s="6" t="str">
        <f>HYPERLINK(_xlfn.CONCAT("https://www.google.com/maps/search/",Tabela1[[#This Row],[GPS]]),"##")</f>
        <v>##</v>
      </c>
      <c r="AC83" s="3" t="str">
        <f>_xlfn.CONCAT("https://raw.githubusercontent.com/marcelo-pascoal/Semaforos/refs/heads/main/fotosD/",Tabela1[[#This Row],[Foto1]])</f>
        <v>https://raw.githubusercontent.com/marcelo-pascoal/Semaforos/refs/heads/main/fotosD/DSCF7097.JPG</v>
      </c>
      <c r="AD83" s="3" t="str">
        <f>_xlfn.CONCAT("https://raw.githubusercontent.com/marcelo-pascoal/Semaforos/refs/heads/main/fotos/",Tabela1[[#This Row],[id_0]],".jpg")</f>
        <v>https://raw.githubusercontent.com/marcelo-pascoal/Semaforos/refs/heads/main/fotos/261.jpg</v>
      </c>
      <c r="AE83" s="3" t="str">
        <f>_xlfn.CONCAT("https://raw.githubusercontent.com/marcelo-pascoal/Semaforos/refs/heads/main/fotosD/",Tabela1[[#This Row],[id_0]],".jpg")</f>
        <v>https://raw.githubusercontent.com/marcelo-pascoal/Semaforos/refs/heads/main/fotosD/261.jpg</v>
      </c>
      <c r="AF83" s="3">
        <v>1</v>
      </c>
    </row>
    <row r="84" spans="1:32" ht="250" customHeight="1" x14ac:dyDescent="0.35">
      <c r="A84" s="2" t="s">
        <v>290</v>
      </c>
      <c r="B84" s="5">
        <v>262</v>
      </c>
      <c r="C84" s="2" t="s">
        <v>306</v>
      </c>
      <c r="D84" s="1" t="s">
        <v>38</v>
      </c>
      <c r="E84" s="2" t="s">
        <v>1147</v>
      </c>
      <c r="F84" s="2" t="s">
        <v>308</v>
      </c>
      <c r="G84" s="1" t="s">
        <v>1144</v>
      </c>
      <c r="H84" s="1" t="s">
        <v>1146</v>
      </c>
      <c r="I84" s="1" t="s">
        <v>307</v>
      </c>
      <c r="J84" s="2" t="s">
        <v>304</v>
      </c>
      <c r="K84" s="2" t="s">
        <v>232</v>
      </c>
      <c r="L84" s="3"/>
      <c r="M84" s="3"/>
      <c r="N84" s="3"/>
      <c r="O84" s="3">
        <v>1</v>
      </c>
      <c r="P84" s="3">
        <v>1</v>
      </c>
      <c r="Q84" s="3">
        <v>1</v>
      </c>
      <c r="R84" s="3"/>
      <c r="S84" s="3"/>
      <c r="T84" s="3"/>
      <c r="U84" s="3">
        <v>1</v>
      </c>
      <c r="V84" s="3">
        <v>1</v>
      </c>
      <c r="W84" s="3" t="s">
        <v>40</v>
      </c>
      <c r="X84" s="3"/>
      <c r="Y84" s="3"/>
      <c r="Z84" s="3"/>
      <c r="AA84" s="3" t="s">
        <v>35</v>
      </c>
      <c r="AB84" s="6" t="str">
        <f>HYPERLINK(_xlfn.CONCAT("https://www.google.com/maps/search/",Tabela1[[#This Row],[GPS]]),"##")</f>
        <v>##</v>
      </c>
      <c r="AC84" s="3" t="str">
        <f>_xlfn.CONCAT("https://raw.githubusercontent.com/marcelo-pascoal/Semaforos/refs/heads/main/fotosD/",Tabela1[[#This Row],[Foto1]])</f>
        <v>https://raw.githubusercontent.com/marcelo-pascoal/Semaforos/refs/heads/main/fotosD/DSCF7096.JPG</v>
      </c>
      <c r="AD84" s="3" t="str">
        <f>_xlfn.CONCAT("https://raw.githubusercontent.com/marcelo-pascoal/Semaforos/refs/heads/main/fotos/",Tabela1[[#This Row],[id_0]],".jpg")</f>
        <v>https://raw.githubusercontent.com/marcelo-pascoal/Semaforos/refs/heads/main/fotos/262.jpg</v>
      </c>
      <c r="AE84" s="3" t="str">
        <f>_xlfn.CONCAT("https://raw.githubusercontent.com/marcelo-pascoal/Semaforos/refs/heads/main/fotosD/",Tabela1[[#This Row],[id_0]],".jpg")</f>
        <v>https://raw.githubusercontent.com/marcelo-pascoal/Semaforos/refs/heads/main/fotosD/262.jpg</v>
      </c>
      <c r="AF84" s="3">
        <v>1</v>
      </c>
    </row>
    <row r="85" spans="1:32" ht="250" customHeight="1" x14ac:dyDescent="0.35">
      <c r="A85" s="2" t="s">
        <v>290</v>
      </c>
      <c r="B85" s="5">
        <v>263</v>
      </c>
      <c r="C85" s="2" t="s">
        <v>309</v>
      </c>
      <c r="D85" s="1" t="s">
        <v>60</v>
      </c>
      <c r="F85" s="2" t="s">
        <v>311</v>
      </c>
      <c r="G85" s="1" t="s">
        <v>1145</v>
      </c>
      <c r="H85" s="1" t="s">
        <v>1146</v>
      </c>
      <c r="I85" s="1" t="s">
        <v>310</v>
      </c>
      <c r="J85" s="2" t="s">
        <v>268</v>
      </c>
      <c r="K85" s="2" t="s">
        <v>232</v>
      </c>
      <c r="L85" s="3"/>
      <c r="M85" s="3"/>
      <c r="N85" s="3"/>
      <c r="O85" s="3">
        <v>2</v>
      </c>
      <c r="P85" s="3">
        <v>5</v>
      </c>
      <c r="Q85" s="3">
        <v>2</v>
      </c>
      <c r="R85" s="3"/>
      <c r="S85" s="3"/>
      <c r="T85" s="3"/>
      <c r="U85" s="3"/>
      <c r="V85" s="3"/>
      <c r="W85" s="3" t="s">
        <v>40</v>
      </c>
      <c r="X85" s="3"/>
      <c r="Y85" s="3"/>
      <c r="Z85" s="3"/>
      <c r="AA85" s="3" t="s">
        <v>35</v>
      </c>
      <c r="AB85" s="6" t="str">
        <f>HYPERLINK(_xlfn.CONCAT("https://www.google.com/maps/search/",Tabela1[[#This Row],[GPS]]),"##")</f>
        <v>##</v>
      </c>
      <c r="AC85" s="3" t="str">
        <f>_xlfn.CONCAT("https://raw.githubusercontent.com/marcelo-pascoal/Semaforos/refs/heads/main/fotosD/",Tabela1[[#This Row],[Foto1]])</f>
        <v>https://raw.githubusercontent.com/marcelo-pascoal/Semaforos/refs/heads/main/fotosD/DSCF7072.JPG</v>
      </c>
      <c r="AD85" s="3" t="str">
        <f>_xlfn.CONCAT("https://raw.githubusercontent.com/marcelo-pascoal/Semaforos/refs/heads/main/fotos/",Tabela1[[#This Row],[id_0]],".jpg")</f>
        <v>https://raw.githubusercontent.com/marcelo-pascoal/Semaforos/refs/heads/main/fotos/263.jpg</v>
      </c>
      <c r="AE85" s="3" t="str">
        <f>_xlfn.CONCAT("https://raw.githubusercontent.com/marcelo-pascoal/Semaforos/refs/heads/main/fotosD/",Tabela1[[#This Row],[id_0]],".jpg")</f>
        <v>https://raw.githubusercontent.com/marcelo-pascoal/Semaforos/refs/heads/main/fotosD/263.jpg</v>
      </c>
      <c r="AF85" s="3">
        <v>1</v>
      </c>
    </row>
    <row r="86" spans="1:32" ht="250" customHeight="1" x14ac:dyDescent="0.35">
      <c r="A86" s="2" t="s">
        <v>290</v>
      </c>
      <c r="B86" s="5">
        <v>264</v>
      </c>
      <c r="C86" s="2" t="s">
        <v>312</v>
      </c>
      <c r="D86" s="1" t="s">
        <v>38</v>
      </c>
      <c r="E86" s="2" t="s">
        <v>1147</v>
      </c>
      <c r="F86" s="2" t="s">
        <v>315</v>
      </c>
      <c r="G86" s="1" t="s">
        <v>1144</v>
      </c>
      <c r="H86" s="1" t="s">
        <v>1146</v>
      </c>
      <c r="I86" s="1" t="s">
        <v>313</v>
      </c>
      <c r="J86" s="2" t="s">
        <v>314</v>
      </c>
      <c r="K86" s="2" t="s">
        <v>232</v>
      </c>
      <c r="L86" s="3"/>
      <c r="M86" s="3"/>
      <c r="N86" s="3"/>
      <c r="O86" s="3"/>
      <c r="P86" s="3">
        <v>1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 t="s">
        <v>35</v>
      </c>
      <c r="AB86" s="6" t="str">
        <f>HYPERLINK(_xlfn.CONCAT("https://www.google.com/maps/search/",Tabela1[[#This Row],[GPS]]),"##")</f>
        <v>##</v>
      </c>
      <c r="AC86" s="3" t="str">
        <f>_xlfn.CONCAT("https://raw.githubusercontent.com/marcelo-pascoal/Semaforos/refs/heads/main/fotosD/",Tabela1[[#This Row],[Foto1]])</f>
        <v>https://raw.githubusercontent.com/marcelo-pascoal/Semaforos/refs/heads/main/fotosD/DSCF7075.JPG</v>
      </c>
      <c r="AD86" s="3" t="str">
        <f>_xlfn.CONCAT("https://raw.githubusercontent.com/marcelo-pascoal/Semaforos/refs/heads/main/fotos/",Tabela1[[#This Row],[id_0]],".jpg")</f>
        <v>https://raw.githubusercontent.com/marcelo-pascoal/Semaforos/refs/heads/main/fotos/264.jpg</v>
      </c>
      <c r="AE86" s="3" t="str">
        <f>_xlfn.CONCAT("https://raw.githubusercontent.com/marcelo-pascoal/Semaforos/refs/heads/main/fotosD/",Tabela1[[#This Row],[id_0]],".jpg")</f>
        <v>https://raw.githubusercontent.com/marcelo-pascoal/Semaforos/refs/heads/main/fotosD/264.jpg</v>
      </c>
      <c r="AF86" s="3">
        <v>5</v>
      </c>
    </row>
    <row r="87" spans="1:32" ht="250" customHeight="1" x14ac:dyDescent="0.35">
      <c r="A87" s="2" t="s">
        <v>290</v>
      </c>
      <c r="B87" s="5">
        <v>619</v>
      </c>
      <c r="C87" s="2" t="s">
        <v>1164</v>
      </c>
      <c r="D87" s="1" t="s">
        <v>38</v>
      </c>
      <c r="E87" s="1"/>
      <c r="G87" s="1" t="s">
        <v>1144</v>
      </c>
      <c r="H87" s="1" t="s">
        <v>1146</v>
      </c>
      <c r="I87" s="1" t="s">
        <v>1152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7" t="str">
        <f>HYPERLINK(_xlfn.CONCAT("https://www.google.com/maps/search/",Tabela1[[#This Row],[GPS]]),"##")</f>
        <v>##</v>
      </c>
      <c r="AC87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87" s="3" t="str">
        <f>_xlfn.CONCAT("https://raw.githubusercontent.com/marcelo-pascoal/Semaforos/refs/heads/main/fotos/",Tabela1[[#This Row],[id_0]],".jpg")</f>
        <v>https://raw.githubusercontent.com/marcelo-pascoal/Semaforos/refs/heads/main/fotos/619.jpg</v>
      </c>
      <c r="AE87" s="3" t="str">
        <f>_xlfn.CONCAT("https://raw.githubusercontent.com/marcelo-pascoal/Semaforos/refs/heads/main/fotosD/",Tabela1[[#This Row],[id_0]],".jpg")</f>
        <v>https://raw.githubusercontent.com/marcelo-pascoal/Semaforos/refs/heads/main/fotosD/619.jpg</v>
      </c>
      <c r="AF87" s="3">
        <v>5</v>
      </c>
    </row>
    <row r="88" spans="1:32" ht="250" customHeight="1" x14ac:dyDescent="0.35">
      <c r="A88" s="2" t="s">
        <v>290</v>
      </c>
      <c r="B88" s="5">
        <v>453</v>
      </c>
      <c r="C88" s="2" t="s">
        <v>316</v>
      </c>
      <c r="D88" s="1" t="s">
        <v>38</v>
      </c>
      <c r="E88" s="2" t="s">
        <v>1147</v>
      </c>
      <c r="F88" s="2" t="s">
        <v>318</v>
      </c>
      <c r="G88" s="1" t="s">
        <v>1144</v>
      </c>
      <c r="H88" s="1" t="s">
        <v>1146</v>
      </c>
      <c r="I88" s="1" t="s">
        <v>317</v>
      </c>
      <c r="J88" s="2" t="s">
        <v>293</v>
      </c>
      <c r="K88" s="2" t="s">
        <v>232</v>
      </c>
      <c r="L88" s="3"/>
      <c r="M88" s="3"/>
      <c r="N88" s="3"/>
      <c r="O88" s="3"/>
      <c r="P88" s="3"/>
      <c r="Q88" s="3"/>
      <c r="R88" s="3"/>
      <c r="S88" s="3"/>
      <c r="T88" s="3"/>
      <c r="U88" s="3">
        <v>1</v>
      </c>
      <c r="V88" s="3">
        <v>1</v>
      </c>
      <c r="W88" s="3" t="s">
        <v>40</v>
      </c>
      <c r="X88" s="3"/>
      <c r="Y88" s="3"/>
      <c r="Z88" s="3"/>
      <c r="AA88" s="3" t="s">
        <v>35</v>
      </c>
      <c r="AB88" s="6" t="str">
        <f>HYPERLINK(_xlfn.CONCAT("https://www.google.com/maps/search/",Tabela1[[#This Row],[GPS]]),"##")</f>
        <v>##</v>
      </c>
      <c r="AC88" s="3" t="str">
        <f>_xlfn.CONCAT("https://raw.githubusercontent.com/marcelo-pascoal/Semaforos/refs/heads/main/fotosD/",Tabela1[[#This Row],[Foto1]])</f>
        <v>https://raw.githubusercontent.com/marcelo-pascoal/Semaforos/refs/heads/main/fotosD/DSCF7083.JPG</v>
      </c>
      <c r="AD88" s="3" t="str">
        <f>_xlfn.CONCAT("https://raw.githubusercontent.com/marcelo-pascoal/Semaforos/refs/heads/main/fotos/",Tabela1[[#This Row],[id_0]],".jpg")</f>
        <v>https://raw.githubusercontent.com/marcelo-pascoal/Semaforos/refs/heads/main/fotos/453.jpg</v>
      </c>
      <c r="AE88" s="3" t="str">
        <f>_xlfn.CONCAT("https://raw.githubusercontent.com/marcelo-pascoal/Semaforos/refs/heads/main/fotosD/",Tabela1[[#This Row],[id_0]],".jpg")</f>
        <v>https://raw.githubusercontent.com/marcelo-pascoal/Semaforos/refs/heads/main/fotosD/453.jpg</v>
      </c>
      <c r="AF88" s="3">
        <v>5</v>
      </c>
    </row>
    <row r="89" spans="1:32" ht="250" customHeight="1" x14ac:dyDescent="0.35">
      <c r="A89" s="2" t="s">
        <v>319</v>
      </c>
      <c r="B89" s="5">
        <v>210</v>
      </c>
      <c r="C89" s="2" t="s">
        <v>320</v>
      </c>
      <c r="D89" s="1" t="s">
        <v>31</v>
      </c>
      <c r="E89" s="2" t="s">
        <v>1147</v>
      </c>
      <c r="F89" s="2" t="s">
        <v>324</v>
      </c>
      <c r="G89" s="1" t="s">
        <v>1144</v>
      </c>
      <c r="H89" s="1" t="s">
        <v>31</v>
      </c>
      <c r="I89" s="1" t="s">
        <v>321</v>
      </c>
      <c r="J89" s="2" t="s">
        <v>322</v>
      </c>
      <c r="K89" s="2" t="s">
        <v>323</v>
      </c>
      <c r="L89" s="3"/>
      <c r="M89" s="3">
        <v>2</v>
      </c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 t="s">
        <v>35</v>
      </c>
      <c r="AB89" s="6" t="str">
        <f>HYPERLINK(_xlfn.CONCAT("https://www.google.com/maps/search/",Tabela1[[#This Row],[GPS]]),"##")</f>
        <v>##</v>
      </c>
      <c r="AC89" s="3" t="str">
        <f>_xlfn.CONCAT("https://raw.githubusercontent.com/marcelo-pascoal/Semaforos/refs/heads/main/fotosD/",Tabela1[[#This Row],[Foto1]])</f>
        <v>https://raw.githubusercontent.com/marcelo-pascoal/Semaforos/refs/heads/main/fotosD/DSCF7120.JPG</v>
      </c>
      <c r="AD89" s="3" t="str">
        <f>_xlfn.CONCAT("https://raw.githubusercontent.com/marcelo-pascoal/Semaforos/refs/heads/main/fotos/",Tabela1[[#This Row],[id_0]],".jpg")</f>
        <v>https://raw.githubusercontent.com/marcelo-pascoal/Semaforos/refs/heads/main/fotos/210.jpg</v>
      </c>
      <c r="AE89" s="3" t="str">
        <f>_xlfn.CONCAT("https://raw.githubusercontent.com/marcelo-pascoal/Semaforos/refs/heads/main/fotosD/",Tabela1[[#This Row],[id_0]],".jpg")</f>
        <v>https://raw.githubusercontent.com/marcelo-pascoal/Semaforos/refs/heads/main/fotosD/210.jpg</v>
      </c>
      <c r="AF89" s="3">
        <v>5</v>
      </c>
    </row>
    <row r="90" spans="1:32" ht="250" customHeight="1" x14ac:dyDescent="0.35">
      <c r="A90" s="2" t="s">
        <v>319</v>
      </c>
      <c r="B90" s="5">
        <v>211</v>
      </c>
      <c r="C90" s="2" t="s">
        <v>325</v>
      </c>
      <c r="D90" s="1" t="s">
        <v>60</v>
      </c>
      <c r="E90" s="2" t="s">
        <v>1147</v>
      </c>
      <c r="F90" s="2" t="s">
        <v>327</v>
      </c>
      <c r="G90" s="1" t="s">
        <v>1145</v>
      </c>
      <c r="H90" s="1" t="s">
        <v>1146</v>
      </c>
      <c r="I90" s="1" t="s">
        <v>326</v>
      </c>
      <c r="J90" s="2" t="s">
        <v>322</v>
      </c>
      <c r="K90" s="2" t="s">
        <v>323</v>
      </c>
      <c r="L90" s="3">
        <v>1</v>
      </c>
      <c r="M90" s="3"/>
      <c r="N90" s="3"/>
      <c r="O90" s="3">
        <v>1</v>
      </c>
      <c r="P90" s="3">
        <v>2</v>
      </c>
      <c r="Q90" s="3">
        <v>2</v>
      </c>
      <c r="R90" s="3">
        <v>1</v>
      </c>
      <c r="S90" s="3">
        <v>1</v>
      </c>
      <c r="T90" s="3">
        <v>1</v>
      </c>
      <c r="U90" s="3"/>
      <c r="V90" s="3"/>
      <c r="W90" s="3"/>
      <c r="X90" s="3"/>
      <c r="Y90" s="3" t="s">
        <v>40</v>
      </c>
      <c r="Z90" s="3"/>
      <c r="AA90" s="3" t="s">
        <v>35</v>
      </c>
      <c r="AB90" s="6" t="str">
        <f>HYPERLINK(_xlfn.CONCAT("https://www.google.com/maps/search/",Tabela1[[#This Row],[GPS]]),"##")</f>
        <v>##</v>
      </c>
      <c r="AC90" s="3" t="str">
        <f>_xlfn.CONCAT("https://raw.githubusercontent.com/marcelo-pascoal/Semaforos/refs/heads/main/fotosD/",Tabela1[[#This Row],[Foto1]])</f>
        <v>https://raw.githubusercontent.com/marcelo-pascoal/Semaforos/refs/heads/main/fotosD/DSCF7112.JPG</v>
      </c>
      <c r="AD90" s="3" t="str">
        <f>_xlfn.CONCAT("https://raw.githubusercontent.com/marcelo-pascoal/Semaforos/refs/heads/main/fotos/",Tabela1[[#This Row],[id_0]],".jpg")</f>
        <v>https://raw.githubusercontent.com/marcelo-pascoal/Semaforos/refs/heads/main/fotos/211.jpg</v>
      </c>
      <c r="AE90" s="3" t="str">
        <f>_xlfn.CONCAT("https://raw.githubusercontent.com/marcelo-pascoal/Semaforos/refs/heads/main/fotosD/",Tabela1[[#This Row],[id_0]],".jpg")</f>
        <v>https://raw.githubusercontent.com/marcelo-pascoal/Semaforos/refs/heads/main/fotosD/211.jpg</v>
      </c>
      <c r="AF90" s="3">
        <v>5</v>
      </c>
    </row>
    <row r="91" spans="1:32" ht="250" customHeight="1" x14ac:dyDescent="0.35">
      <c r="A91" s="2" t="s">
        <v>319</v>
      </c>
      <c r="B91" s="5">
        <v>212</v>
      </c>
      <c r="C91" s="2" t="s">
        <v>328</v>
      </c>
      <c r="D91" s="1" t="s">
        <v>60</v>
      </c>
      <c r="E91" s="2" t="s">
        <v>1147</v>
      </c>
      <c r="F91" s="2" t="s">
        <v>330</v>
      </c>
      <c r="G91" s="1" t="s">
        <v>1145</v>
      </c>
      <c r="H91" s="1" t="s">
        <v>1146</v>
      </c>
      <c r="I91" s="1" t="s">
        <v>329</v>
      </c>
      <c r="J91" s="2" t="s">
        <v>322</v>
      </c>
      <c r="K91" s="2" t="s">
        <v>323</v>
      </c>
      <c r="L91" s="3">
        <v>1</v>
      </c>
      <c r="M91" s="3"/>
      <c r="N91" s="3"/>
      <c r="O91" s="3">
        <v>1</v>
      </c>
      <c r="P91" s="3">
        <v>2</v>
      </c>
      <c r="Q91" s="3">
        <v>2</v>
      </c>
      <c r="R91" s="3">
        <v>1</v>
      </c>
      <c r="S91" s="3">
        <v>1</v>
      </c>
      <c r="T91" s="3">
        <v>1</v>
      </c>
      <c r="U91" s="3"/>
      <c r="V91" s="3"/>
      <c r="W91" s="3"/>
      <c r="X91" s="3"/>
      <c r="Y91" s="3" t="s">
        <v>40</v>
      </c>
      <c r="Z91" s="3"/>
      <c r="AA91" s="3" t="s">
        <v>35</v>
      </c>
      <c r="AB91" s="6" t="str">
        <f>HYPERLINK(_xlfn.CONCAT("https://www.google.com/maps/search/",Tabela1[[#This Row],[GPS]]),"##")</f>
        <v>##</v>
      </c>
      <c r="AC91" s="3" t="str">
        <f>_xlfn.CONCAT("https://raw.githubusercontent.com/marcelo-pascoal/Semaforos/refs/heads/main/fotosD/",Tabela1[[#This Row],[Foto1]])</f>
        <v>https://raw.githubusercontent.com/marcelo-pascoal/Semaforos/refs/heads/main/fotosD/DSCF7108.JPG</v>
      </c>
      <c r="AD91" s="3" t="str">
        <f>_xlfn.CONCAT("https://raw.githubusercontent.com/marcelo-pascoal/Semaforos/refs/heads/main/fotos/",Tabela1[[#This Row],[id_0]],".jpg")</f>
        <v>https://raw.githubusercontent.com/marcelo-pascoal/Semaforos/refs/heads/main/fotos/212.jpg</v>
      </c>
      <c r="AE91" s="3" t="str">
        <f>_xlfn.CONCAT("https://raw.githubusercontent.com/marcelo-pascoal/Semaforos/refs/heads/main/fotosD/",Tabela1[[#This Row],[id_0]],".jpg")</f>
        <v>https://raw.githubusercontent.com/marcelo-pascoal/Semaforos/refs/heads/main/fotosD/212.jpg</v>
      </c>
      <c r="AF91" s="3">
        <v>5</v>
      </c>
    </row>
    <row r="92" spans="1:32" ht="250" customHeight="1" x14ac:dyDescent="0.35">
      <c r="A92" s="2" t="s">
        <v>319</v>
      </c>
      <c r="B92" s="5">
        <v>213</v>
      </c>
      <c r="C92" s="2" t="s">
        <v>331</v>
      </c>
      <c r="D92" s="1" t="s">
        <v>31</v>
      </c>
      <c r="E92" s="2" t="s">
        <v>1147</v>
      </c>
      <c r="F92" s="2" t="s">
        <v>333</v>
      </c>
      <c r="G92" s="1" t="s">
        <v>1144</v>
      </c>
      <c r="H92" s="1" t="s">
        <v>31</v>
      </c>
      <c r="I92" s="1" t="s">
        <v>332</v>
      </c>
      <c r="J92" s="2" t="s">
        <v>322</v>
      </c>
      <c r="K92" s="2" t="s">
        <v>323</v>
      </c>
      <c r="L92" s="3"/>
      <c r="M92" s="3">
        <v>1</v>
      </c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 t="s">
        <v>35</v>
      </c>
      <c r="AB92" s="6" t="str">
        <f>HYPERLINK(_xlfn.CONCAT("https://www.google.com/maps/search/",Tabela1[[#This Row],[GPS]]),"##")</f>
        <v>##</v>
      </c>
      <c r="AC92" s="3" t="str">
        <f>_xlfn.CONCAT("https://raw.githubusercontent.com/marcelo-pascoal/Semaforos/refs/heads/main/fotosD/",Tabela1[[#This Row],[Foto1]])</f>
        <v>https://raw.githubusercontent.com/marcelo-pascoal/Semaforos/refs/heads/main/fotosD/DSCF7106.JPG</v>
      </c>
      <c r="AD92" s="3" t="str">
        <f>_xlfn.CONCAT("https://raw.githubusercontent.com/marcelo-pascoal/Semaforos/refs/heads/main/fotos/",Tabela1[[#This Row],[id_0]],".jpg")</f>
        <v>https://raw.githubusercontent.com/marcelo-pascoal/Semaforos/refs/heads/main/fotos/213.jpg</v>
      </c>
      <c r="AE92" s="3" t="str">
        <f>_xlfn.CONCAT("https://raw.githubusercontent.com/marcelo-pascoal/Semaforos/refs/heads/main/fotosD/",Tabela1[[#This Row],[id_0]],".jpg")</f>
        <v>https://raw.githubusercontent.com/marcelo-pascoal/Semaforos/refs/heads/main/fotosD/213.jpg</v>
      </c>
      <c r="AF92" s="3">
        <v>5</v>
      </c>
    </row>
    <row r="93" spans="1:32" ht="250" customHeight="1" x14ac:dyDescent="0.35">
      <c r="A93" s="2" t="s">
        <v>334</v>
      </c>
      <c r="B93" s="5">
        <v>206</v>
      </c>
      <c r="C93" s="2" t="s">
        <v>335</v>
      </c>
      <c r="D93" s="1" t="s">
        <v>31</v>
      </c>
      <c r="E93" s="2" t="s">
        <v>1147</v>
      </c>
      <c r="F93" s="2" t="s">
        <v>338</v>
      </c>
      <c r="G93" s="1" t="s">
        <v>1144</v>
      </c>
      <c r="H93" s="1" t="s">
        <v>31</v>
      </c>
      <c r="I93" s="1" t="s">
        <v>336</v>
      </c>
      <c r="J93" s="2" t="s">
        <v>337</v>
      </c>
      <c r="K93" s="2" t="s">
        <v>323</v>
      </c>
      <c r="L93" s="3"/>
      <c r="M93" s="3">
        <v>1</v>
      </c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 t="s">
        <v>35</v>
      </c>
      <c r="AB93" s="6" t="str">
        <f>HYPERLINK(_xlfn.CONCAT("https://www.google.com/maps/search/",Tabela1[[#This Row],[GPS]]),"##")</f>
        <v>##</v>
      </c>
      <c r="AC93" s="3" t="str">
        <f>_xlfn.CONCAT("https://raw.githubusercontent.com/marcelo-pascoal/Semaforos/refs/heads/main/fotosD/",Tabela1[[#This Row],[Foto1]])</f>
        <v>https://raw.githubusercontent.com/marcelo-pascoal/Semaforos/refs/heads/main/fotosD/DSCF7133.JPG</v>
      </c>
      <c r="AD93" s="3" t="str">
        <f>_xlfn.CONCAT("https://raw.githubusercontent.com/marcelo-pascoal/Semaforos/refs/heads/main/fotos/",Tabela1[[#This Row],[id_0]],".jpg")</f>
        <v>https://raw.githubusercontent.com/marcelo-pascoal/Semaforos/refs/heads/main/fotos/206.jpg</v>
      </c>
      <c r="AE93" s="3" t="str">
        <f>_xlfn.CONCAT("https://raw.githubusercontent.com/marcelo-pascoal/Semaforos/refs/heads/main/fotosD/",Tabela1[[#This Row],[id_0]],".jpg")</f>
        <v>https://raw.githubusercontent.com/marcelo-pascoal/Semaforos/refs/heads/main/fotosD/206.jpg</v>
      </c>
      <c r="AF93" s="3">
        <v>1</v>
      </c>
    </row>
    <row r="94" spans="1:32" ht="250" customHeight="1" x14ac:dyDescent="0.35">
      <c r="A94" s="2" t="s">
        <v>334</v>
      </c>
      <c r="B94" s="5">
        <v>207</v>
      </c>
      <c r="C94" s="2" t="s">
        <v>339</v>
      </c>
      <c r="D94" s="1" t="s">
        <v>60</v>
      </c>
      <c r="E94" s="2" t="s">
        <v>1147</v>
      </c>
      <c r="F94" s="2" t="s">
        <v>341</v>
      </c>
      <c r="G94" s="1" t="s">
        <v>1145</v>
      </c>
      <c r="H94" s="1" t="s">
        <v>1146</v>
      </c>
      <c r="I94" s="1" t="s">
        <v>340</v>
      </c>
      <c r="J94" s="2" t="s">
        <v>337</v>
      </c>
      <c r="K94" s="2" t="s">
        <v>323</v>
      </c>
      <c r="L94" s="3">
        <v>1</v>
      </c>
      <c r="M94" s="3"/>
      <c r="N94" s="3"/>
      <c r="O94" s="3">
        <v>1</v>
      </c>
      <c r="P94" s="3">
        <v>2</v>
      </c>
      <c r="Q94" s="3">
        <v>2</v>
      </c>
      <c r="R94" s="3">
        <v>1</v>
      </c>
      <c r="S94" s="3">
        <v>1</v>
      </c>
      <c r="T94" s="3">
        <v>1</v>
      </c>
      <c r="U94" s="3"/>
      <c r="V94" s="3"/>
      <c r="W94" s="3"/>
      <c r="X94" s="3"/>
      <c r="Y94" s="3"/>
      <c r="Z94" s="3"/>
      <c r="AA94" s="3" t="s">
        <v>35</v>
      </c>
      <c r="AB94" s="6" t="str">
        <f>HYPERLINK(_xlfn.CONCAT("https://www.google.com/maps/search/",Tabela1[[#This Row],[GPS]]),"##")</f>
        <v>##</v>
      </c>
      <c r="AC94" s="3" t="str">
        <f>_xlfn.CONCAT("https://raw.githubusercontent.com/marcelo-pascoal/Semaforos/refs/heads/main/fotosD/",Tabela1[[#This Row],[Foto1]])</f>
        <v>https://raw.githubusercontent.com/marcelo-pascoal/Semaforos/refs/heads/main/fotosD/DSCF7130.JPG</v>
      </c>
      <c r="AD94" s="3" t="str">
        <f>_xlfn.CONCAT("https://raw.githubusercontent.com/marcelo-pascoal/Semaforos/refs/heads/main/fotos/",Tabela1[[#This Row],[id_0]],".jpg")</f>
        <v>https://raw.githubusercontent.com/marcelo-pascoal/Semaforos/refs/heads/main/fotos/207.jpg</v>
      </c>
      <c r="AE94" s="3" t="str">
        <f>_xlfn.CONCAT("https://raw.githubusercontent.com/marcelo-pascoal/Semaforos/refs/heads/main/fotosD/",Tabela1[[#This Row],[id_0]],".jpg")</f>
        <v>https://raw.githubusercontent.com/marcelo-pascoal/Semaforos/refs/heads/main/fotosD/207.jpg</v>
      </c>
      <c r="AF94" s="3">
        <v>1</v>
      </c>
    </row>
    <row r="95" spans="1:32" ht="250" customHeight="1" x14ac:dyDescent="0.35">
      <c r="A95" s="2" t="s">
        <v>334</v>
      </c>
      <c r="B95" s="5">
        <v>208</v>
      </c>
      <c r="C95" s="2" t="s">
        <v>342</v>
      </c>
      <c r="D95" s="1" t="s">
        <v>60</v>
      </c>
      <c r="E95" s="2" t="s">
        <v>1147</v>
      </c>
      <c r="F95" s="2" t="s">
        <v>344</v>
      </c>
      <c r="G95" s="1" t="s">
        <v>1145</v>
      </c>
      <c r="H95" s="1" t="s">
        <v>1146</v>
      </c>
      <c r="I95" s="1" t="s">
        <v>343</v>
      </c>
      <c r="J95" s="2" t="s">
        <v>337</v>
      </c>
      <c r="K95" s="2" t="s">
        <v>323</v>
      </c>
      <c r="L95" s="3">
        <v>1</v>
      </c>
      <c r="M95" s="3"/>
      <c r="N95" s="3"/>
      <c r="O95" s="3">
        <v>1</v>
      </c>
      <c r="P95" s="3">
        <v>2</v>
      </c>
      <c r="Q95" s="3">
        <v>2</v>
      </c>
      <c r="R95" s="3"/>
      <c r="S95" s="3"/>
      <c r="T95" s="3"/>
      <c r="U95" s="3"/>
      <c r="V95" s="3"/>
      <c r="W95" s="3"/>
      <c r="X95" s="3"/>
      <c r="Y95" s="3"/>
      <c r="Z95" s="3"/>
      <c r="AA95" s="3" t="s">
        <v>35</v>
      </c>
      <c r="AB95" s="6" t="str">
        <f>HYPERLINK(_xlfn.CONCAT("https://www.google.com/maps/search/",Tabela1[[#This Row],[GPS]]),"##")</f>
        <v>##</v>
      </c>
      <c r="AC95" s="3" t="str">
        <f>_xlfn.CONCAT("https://raw.githubusercontent.com/marcelo-pascoal/Semaforos/refs/heads/main/fotosD/",Tabela1[[#This Row],[Foto1]])</f>
        <v>https://raw.githubusercontent.com/marcelo-pascoal/Semaforos/refs/heads/main/fotosD/DSCF7127.JPG</v>
      </c>
      <c r="AD95" s="3" t="str">
        <f>_xlfn.CONCAT("https://raw.githubusercontent.com/marcelo-pascoal/Semaforos/refs/heads/main/fotos/",Tabela1[[#This Row],[id_0]],".jpg")</f>
        <v>https://raw.githubusercontent.com/marcelo-pascoal/Semaforos/refs/heads/main/fotos/208.jpg</v>
      </c>
      <c r="AE95" s="3" t="str">
        <f>_xlfn.CONCAT("https://raw.githubusercontent.com/marcelo-pascoal/Semaforos/refs/heads/main/fotosD/",Tabela1[[#This Row],[id_0]],".jpg")</f>
        <v>https://raw.githubusercontent.com/marcelo-pascoal/Semaforos/refs/heads/main/fotosD/208.jpg</v>
      </c>
      <c r="AF95" s="3">
        <v>1</v>
      </c>
    </row>
    <row r="96" spans="1:32" ht="250" customHeight="1" x14ac:dyDescent="0.35">
      <c r="A96" s="2" t="s">
        <v>334</v>
      </c>
      <c r="B96" s="5">
        <v>209</v>
      </c>
      <c r="C96" s="2" t="s">
        <v>345</v>
      </c>
      <c r="D96" s="1" t="s">
        <v>31</v>
      </c>
      <c r="F96" s="2" t="s">
        <v>347</v>
      </c>
      <c r="G96" s="1" t="s">
        <v>1144</v>
      </c>
      <c r="H96" s="1" t="s">
        <v>31</v>
      </c>
      <c r="I96" s="1" t="s">
        <v>346</v>
      </c>
      <c r="J96" s="2" t="s">
        <v>337</v>
      </c>
      <c r="K96" s="2" t="s">
        <v>323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 t="s">
        <v>35</v>
      </c>
      <c r="AB96" s="6" t="str">
        <f>HYPERLINK(_xlfn.CONCAT("https://www.google.com/maps/search/",Tabela1[[#This Row],[GPS]]),"##")</f>
        <v>##</v>
      </c>
      <c r="AC96" s="3" t="str">
        <f>_xlfn.CONCAT("https://raw.githubusercontent.com/marcelo-pascoal/Semaforos/refs/heads/main/fotosD/",Tabela1[[#This Row],[Foto1]])</f>
        <v>https://raw.githubusercontent.com/marcelo-pascoal/Semaforos/refs/heads/main/fotosD/DSCF7125.JPG</v>
      </c>
      <c r="AD96" s="3" t="str">
        <f>_xlfn.CONCAT("https://raw.githubusercontent.com/marcelo-pascoal/Semaforos/refs/heads/main/fotos/",Tabela1[[#This Row],[id_0]],".jpg")</f>
        <v>https://raw.githubusercontent.com/marcelo-pascoal/Semaforos/refs/heads/main/fotos/209.jpg</v>
      </c>
      <c r="AE96" s="3" t="str">
        <f>_xlfn.CONCAT("https://raw.githubusercontent.com/marcelo-pascoal/Semaforos/refs/heads/main/fotosD/",Tabela1[[#This Row],[id_0]],".jpg")</f>
        <v>https://raw.githubusercontent.com/marcelo-pascoal/Semaforos/refs/heads/main/fotosD/209.jpg</v>
      </c>
      <c r="AF96" s="3">
        <v>5</v>
      </c>
    </row>
    <row r="97" spans="1:32" ht="250" customHeight="1" x14ac:dyDescent="0.35">
      <c r="A97" s="2" t="s">
        <v>348</v>
      </c>
      <c r="B97" s="5">
        <v>202</v>
      </c>
      <c r="C97" s="2" t="s">
        <v>349</v>
      </c>
      <c r="D97" s="1" t="s">
        <v>31</v>
      </c>
      <c r="F97" s="2" t="s">
        <v>352</v>
      </c>
      <c r="G97" s="1" t="s">
        <v>1144</v>
      </c>
      <c r="H97" s="1" t="s">
        <v>31</v>
      </c>
      <c r="I97" s="1" t="s">
        <v>350</v>
      </c>
      <c r="J97" s="2" t="s">
        <v>337</v>
      </c>
      <c r="K97" s="2" t="s">
        <v>351</v>
      </c>
      <c r="L97" s="3"/>
      <c r="M97" s="3">
        <v>2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 t="s">
        <v>35</v>
      </c>
      <c r="AB97" s="6" t="str">
        <f>HYPERLINK(_xlfn.CONCAT("https://www.google.com/maps/search/",Tabela1[[#This Row],[GPS]]),"##")</f>
        <v>##</v>
      </c>
      <c r="AC97" s="3" t="str">
        <f>_xlfn.CONCAT("https://raw.githubusercontent.com/marcelo-pascoal/Semaforos/refs/heads/main/fotosD/",Tabela1[[#This Row],[Foto1]])</f>
        <v>https://raw.githubusercontent.com/marcelo-pascoal/Semaforos/refs/heads/main/fotosD/DSCF7245.JPG</v>
      </c>
      <c r="AD97" s="3" t="str">
        <f>_xlfn.CONCAT("https://raw.githubusercontent.com/marcelo-pascoal/Semaforos/refs/heads/main/fotos/",Tabela1[[#This Row],[id_0]],".jpg")</f>
        <v>https://raw.githubusercontent.com/marcelo-pascoal/Semaforos/refs/heads/main/fotos/202.jpg</v>
      </c>
      <c r="AE97" s="3" t="str">
        <f>_xlfn.CONCAT("https://raw.githubusercontent.com/marcelo-pascoal/Semaforos/refs/heads/main/fotosD/",Tabela1[[#This Row],[id_0]],".jpg")</f>
        <v>https://raw.githubusercontent.com/marcelo-pascoal/Semaforos/refs/heads/main/fotosD/202.jpg</v>
      </c>
      <c r="AF97" s="3">
        <v>5</v>
      </c>
    </row>
    <row r="98" spans="1:32" ht="250" customHeight="1" x14ac:dyDescent="0.35">
      <c r="A98" s="2" t="s">
        <v>348</v>
      </c>
      <c r="B98" s="5">
        <v>203</v>
      </c>
      <c r="C98" s="2" t="s">
        <v>353</v>
      </c>
      <c r="D98" s="1" t="s">
        <v>60</v>
      </c>
      <c r="F98" s="2" t="s">
        <v>355</v>
      </c>
      <c r="G98" s="1" t="s">
        <v>1145</v>
      </c>
      <c r="H98" s="1" t="s">
        <v>1146</v>
      </c>
      <c r="I98" s="1" t="s">
        <v>354</v>
      </c>
      <c r="J98" s="2" t="s">
        <v>337</v>
      </c>
      <c r="K98" s="2" t="s">
        <v>351</v>
      </c>
      <c r="L98" s="3">
        <v>1</v>
      </c>
      <c r="M98" s="3"/>
      <c r="N98" s="3"/>
      <c r="O98" s="3">
        <v>1</v>
      </c>
      <c r="P98" s="3">
        <v>2</v>
      </c>
      <c r="Q98" s="3">
        <v>2</v>
      </c>
      <c r="R98" s="3">
        <v>1</v>
      </c>
      <c r="S98" s="3">
        <v>1</v>
      </c>
      <c r="T98" s="3">
        <v>1</v>
      </c>
      <c r="U98" s="3"/>
      <c r="V98" s="3"/>
      <c r="W98" s="3"/>
      <c r="X98" s="3"/>
      <c r="Y98" s="3"/>
      <c r="Z98" s="3"/>
      <c r="AA98" s="3" t="s">
        <v>35</v>
      </c>
      <c r="AB98" s="6" t="str">
        <f>HYPERLINK(_xlfn.CONCAT("https://www.google.com/maps/search/",Tabela1[[#This Row],[GPS]]),"##")</f>
        <v>##</v>
      </c>
      <c r="AC98" s="3" t="str">
        <f>_xlfn.CONCAT("https://raw.githubusercontent.com/marcelo-pascoal/Semaforos/refs/heads/main/fotosD/",Tabela1[[#This Row],[Foto1]])</f>
        <v>https://raw.githubusercontent.com/marcelo-pascoal/Semaforos/refs/heads/main/fotosD/DSCF7246.JPG</v>
      </c>
      <c r="AD98" s="3" t="str">
        <f>_xlfn.CONCAT("https://raw.githubusercontent.com/marcelo-pascoal/Semaforos/refs/heads/main/fotos/",Tabela1[[#This Row],[id_0]],".jpg")</f>
        <v>https://raw.githubusercontent.com/marcelo-pascoal/Semaforos/refs/heads/main/fotos/203.jpg</v>
      </c>
      <c r="AE98" s="3" t="str">
        <f>_xlfn.CONCAT("https://raw.githubusercontent.com/marcelo-pascoal/Semaforos/refs/heads/main/fotosD/",Tabela1[[#This Row],[id_0]],".jpg")</f>
        <v>https://raw.githubusercontent.com/marcelo-pascoal/Semaforos/refs/heads/main/fotosD/203.jpg</v>
      </c>
      <c r="AF98" s="3">
        <v>1</v>
      </c>
    </row>
    <row r="99" spans="1:32" ht="250" customHeight="1" x14ac:dyDescent="0.35">
      <c r="A99" s="2" t="s">
        <v>348</v>
      </c>
      <c r="B99" s="5">
        <v>204</v>
      </c>
      <c r="C99" s="2" t="s">
        <v>356</v>
      </c>
      <c r="D99" s="1" t="s">
        <v>60</v>
      </c>
      <c r="F99" s="2" t="s">
        <v>358</v>
      </c>
      <c r="G99" s="1" t="s">
        <v>1145</v>
      </c>
      <c r="H99" s="1" t="s">
        <v>1146</v>
      </c>
      <c r="I99" s="1" t="s">
        <v>357</v>
      </c>
      <c r="J99" s="2" t="s">
        <v>337</v>
      </c>
      <c r="K99" s="2" t="s">
        <v>351</v>
      </c>
      <c r="L99" s="3">
        <v>1</v>
      </c>
      <c r="M99" s="3"/>
      <c r="N99" s="3"/>
      <c r="O99" s="3">
        <v>1</v>
      </c>
      <c r="P99" s="3">
        <v>2</v>
      </c>
      <c r="Q99" s="3">
        <v>2</v>
      </c>
      <c r="R99" s="3">
        <v>1</v>
      </c>
      <c r="S99" s="3">
        <v>1</v>
      </c>
      <c r="T99" s="3">
        <v>1</v>
      </c>
      <c r="U99" s="3"/>
      <c r="V99" s="3"/>
      <c r="W99" s="3"/>
      <c r="X99" s="3"/>
      <c r="Y99" s="3"/>
      <c r="Z99" s="3"/>
      <c r="AA99" s="3" t="s">
        <v>35</v>
      </c>
      <c r="AB99" s="6" t="str">
        <f>HYPERLINK(_xlfn.CONCAT("https://www.google.com/maps/search/",Tabela1[[#This Row],[GPS]]),"##")</f>
        <v>##</v>
      </c>
      <c r="AC99" s="3" t="str">
        <f>_xlfn.CONCAT("https://raw.githubusercontent.com/marcelo-pascoal/Semaforos/refs/heads/main/fotosD/",Tabela1[[#This Row],[Foto1]])</f>
        <v>https://raw.githubusercontent.com/marcelo-pascoal/Semaforos/refs/heads/main/fotosD/DSCF7182.JPG</v>
      </c>
      <c r="AD99" s="3" t="str">
        <f>_xlfn.CONCAT("https://raw.githubusercontent.com/marcelo-pascoal/Semaforos/refs/heads/main/fotos/",Tabela1[[#This Row],[id_0]],".jpg")</f>
        <v>https://raw.githubusercontent.com/marcelo-pascoal/Semaforos/refs/heads/main/fotos/204.jpg</v>
      </c>
      <c r="AE99" s="3" t="str">
        <f>_xlfn.CONCAT("https://raw.githubusercontent.com/marcelo-pascoal/Semaforos/refs/heads/main/fotosD/",Tabela1[[#This Row],[id_0]],".jpg")</f>
        <v>https://raw.githubusercontent.com/marcelo-pascoal/Semaforos/refs/heads/main/fotosD/204.jpg</v>
      </c>
      <c r="AF99" s="3">
        <v>1</v>
      </c>
    </row>
    <row r="100" spans="1:32" ht="250" customHeight="1" x14ac:dyDescent="0.35">
      <c r="A100" s="2" t="s">
        <v>348</v>
      </c>
      <c r="B100" s="5">
        <v>205</v>
      </c>
      <c r="C100" s="2" t="s">
        <v>359</v>
      </c>
      <c r="D100" s="1" t="s">
        <v>31</v>
      </c>
      <c r="F100" s="2" t="s">
        <v>361</v>
      </c>
      <c r="G100" s="1" t="s">
        <v>1144</v>
      </c>
      <c r="H100" s="1" t="s">
        <v>31</v>
      </c>
      <c r="I100" s="1" t="s">
        <v>360</v>
      </c>
      <c r="J100" s="2" t="s">
        <v>337</v>
      </c>
      <c r="K100" s="2" t="s">
        <v>351</v>
      </c>
      <c r="L100" s="3"/>
      <c r="M100" s="3">
        <v>1</v>
      </c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 t="s">
        <v>35</v>
      </c>
      <c r="AB100" s="6" t="str">
        <f>HYPERLINK(_xlfn.CONCAT("https://www.google.com/maps/search/",Tabela1[[#This Row],[GPS]]),"##")</f>
        <v>##</v>
      </c>
      <c r="AC100" s="3" t="str">
        <f>_xlfn.CONCAT("https://raw.githubusercontent.com/marcelo-pascoal/Semaforos/refs/heads/main/fotosD/",Tabela1[[#This Row],[Foto1]])</f>
        <v>https://raw.githubusercontent.com/marcelo-pascoal/Semaforos/refs/heads/main/fotosD/DSCF7179.JPG</v>
      </c>
      <c r="AD100" s="3" t="str">
        <f>_xlfn.CONCAT("https://raw.githubusercontent.com/marcelo-pascoal/Semaforos/refs/heads/main/fotos/",Tabela1[[#This Row],[id_0]],".jpg")</f>
        <v>https://raw.githubusercontent.com/marcelo-pascoal/Semaforos/refs/heads/main/fotos/205.jpg</v>
      </c>
      <c r="AE100" s="3" t="str">
        <f>_xlfn.CONCAT("https://raw.githubusercontent.com/marcelo-pascoal/Semaforos/refs/heads/main/fotosD/",Tabela1[[#This Row],[id_0]],".jpg")</f>
        <v>https://raw.githubusercontent.com/marcelo-pascoal/Semaforos/refs/heads/main/fotosD/205.jpg</v>
      </c>
      <c r="AF100" s="3">
        <v>5</v>
      </c>
    </row>
    <row r="101" spans="1:32" ht="250" customHeight="1" x14ac:dyDescent="0.35">
      <c r="A101" s="2" t="s">
        <v>362</v>
      </c>
      <c r="B101" s="5">
        <v>190</v>
      </c>
      <c r="C101" s="2" t="s">
        <v>363</v>
      </c>
      <c r="D101" s="1" t="s">
        <v>31</v>
      </c>
      <c r="E101" s="2" t="s">
        <v>1147</v>
      </c>
      <c r="F101" s="2" t="s">
        <v>366</v>
      </c>
      <c r="G101" s="1" t="s">
        <v>1144</v>
      </c>
      <c r="H101" s="1" t="s">
        <v>31</v>
      </c>
      <c r="I101" s="1" t="s">
        <v>364</v>
      </c>
      <c r="J101" s="2" t="s">
        <v>365</v>
      </c>
      <c r="K101" s="2" t="s">
        <v>351</v>
      </c>
      <c r="L101" s="3"/>
      <c r="M101" s="3"/>
      <c r="N101" s="3"/>
      <c r="O101" s="3"/>
      <c r="P101" s="3">
        <v>1</v>
      </c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 t="s">
        <v>35</v>
      </c>
      <c r="AB101" s="6" t="str">
        <f>HYPERLINK(_xlfn.CONCAT("https://www.google.com/maps/search/",Tabela1[[#This Row],[GPS]]),"##")</f>
        <v>##</v>
      </c>
      <c r="AC101" s="3" t="str">
        <f>_xlfn.CONCAT("https://raw.githubusercontent.com/marcelo-pascoal/Semaforos/refs/heads/main/fotosD/",Tabela1[[#This Row],[Foto1]])</f>
        <v>https://raw.githubusercontent.com/marcelo-pascoal/Semaforos/refs/heads/main/fotosD/DSCF7188.JPG</v>
      </c>
      <c r="AD101" s="3" t="str">
        <f>_xlfn.CONCAT("https://raw.githubusercontent.com/marcelo-pascoal/Semaforos/refs/heads/main/fotos/",Tabela1[[#This Row],[id_0]],".jpg")</f>
        <v>https://raw.githubusercontent.com/marcelo-pascoal/Semaforos/refs/heads/main/fotos/190.jpg</v>
      </c>
      <c r="AE101" s="3" t="str">
        <f>_xlfn.CONCAT("https://raw.githubusercontent.com/marcelo-pascoal/Semaforos/refs/heads/main/fotosD/",Tabela1[[#This Row],[id_0]],".jpg")</f>
        <v>https://raw.githubusercontent.com/marcelo-pascoal/Semaforos/refs/heads/main/fotosD/190.jpg</v>
      </c>
      <c r="AF101" s="3">
        <v>1</v>
      </c>
    </row>
    <row r="102" spans="1:32" ht="250" customHeight="1" x14ac:dyDescent="0.35">
      <c r="A102" s="2" t="s">
        <v>362</v>
      </c>
      <c r="B102" s="5">
        <v>191</v>
      </c>
      <c r="C102" s="2" t="s">
        <v>367</v>
      </c>
      <c r="D102" s="1" t="s">
        <v>31</v>
      </c>
      <c r="E102" s="2" t="s">
        <v>1147</v>
      </c>
      <c r="F102" s="2" t="s">
        <v>369</v>
      </c>
      <c r="G102" s="1" t="s">
        <v>1144</v>
      </c>
      <c r="H102" s="1" t="s">
        <v>31</v>
      </c>
      <c r="I102" s="1" t="s">
        <v>368</v>
      </c>
      <c r="J102" s="2" t="s">
        <v>337</v>
      </c>
      <c r="K102" s="2" t="s">
        <v>351</v>
      </c>
      <c r="L102" s="3"/>
      <c r="M102" s="3">
        <v>2</v>
      </c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 t="s">
        <v>35</v>
      </c>
      <c r="AB102" s="6" t="str">
        <f>HYPERLINK(_xlfn.CONCAT("https://www.google.com/maps/search/",Tabela1[[#This Row],[GPS]]),"##")</f>
        <v>##</v>
      </c>
      <c r="AC102" s="3" t="str">
        <f>_xlfn.CONCAT("https://raw.githubusercontent.com/marcelo-pascoal/Semaforos/refs/heads/main/fotosD/",Tabela1[[#This Row],[Foto1]])</f>
        <v>https://raw.githubusercontent.com/marcelo-pascoal/Semaforos/refs/heads/main/fotosD/DSCF7219.JPG</v>
      </c>
      <c r="AD102" s="3" t="str">
        <f>_xlfn.CONCAT("https://raw.githubusercontent.com/marcelo-pascoal/Semaforos/refs/heads/main/fotos/",Tabela1[[#This Row],[id_0]],".jpg")</f>
        <v>https://raw.githubusercontent.com/marcelo-pascoal/Semaforos/refs/heads/main/fotos/191.jpg</v>
      </c>
      <c r="AE102" s="3" t="str">
        <f>_xlfn.CONCAT("https://raw.githubusercontent.com/marcelo-pascoal/Semaforos/refs/heads/main/fotosD/",Tabela1[[#This Row],[id_0]],".jpg")</f>
        <v>https://raw.githubusercontent.com/marcelo-pascoal/Semaforos/refs/heads/main/fotosD/191.jpg</v>
      </c>
      <c r="AF102" s="3">
        <v>5</v>
      </c>
    </row>
    <row r="103" spans="1:32" ht="250" customHeight="1" x14ac:dyDescent="0.35">
      <c r="A103" s="2" t="s">
        <v>362</v>
      </c>
      <c r="B103" s="5">
        <v>192</v>
      </c>
      <c r="C103" s="2" t="s">
        <v>370</v>
      </c>
      <c r="D103" s="1" t="s">
        <v>60</v>
      </c>
      <c r="E103" s="2" t="s">
        <v>1147</v>
      </c>
      <c r="F103" s="2" t="s">
        <v>373</v>
      </c>
      <c r="G103" s="1" t="s">
        <v>1145</v>
      </c>
      <c r="H103" s="1" t="s">
        <v>1146</v>
      </c>
      <c r="I103" s="1" t="s">
        <v>371</v>
      </c>
      <c r="J103" s="2" t="s">
        <v>372</v>
      </c>
      <c r="K103" s="2" t="s">
        <v>351</v>
      </c>
      <c r="L103" s="3">
        <v>1</v>
      </c>
      <c r="M103" s="3"/>
      <c r="N103" s="3"/>
      <c r="O103" s="3">
        <v>1</v>
      </c>
      <c r="P103" s="3">
        <v>3</v>
      </c>
      <c r="Q103" s="3">
        <v>2</v>
      </c>
      <c r="R103" s="3"/>
      <c r="S103" s="3"/>
      <c r="T103" s="3"/>
      <c r="U103" s="3"/>
      <c r="V103" s="3"/>
      <c r="W103" s="3"/>
      <c r="X103" s="3"/>
      <c r="Y103" s="3"/>
      <c r="Z103" s="3"/>
      <c r="AA103" s="3" t="s">
        <v>35</v>
      </c>
      <c r="AB103" s="6" t="str">
        <f>HYPERLINK(_xlfn.CONCAT("https://www.google.com/maps/search/",Tabela1[[#This Row],[GPS]]),"##")</f>
        <v>##</v>
      </c>
      <c r="AC103" s="3" t="str">
        <f>_xlfn.CONCAT("https://raw.githubusercontent.com/marcelo-pascoal/Semaforos/refs/heads/main/fotosD/",Tabela1[[#This Row],[Foto1]])</f>
        <v>https://raw.githubusercontent.com/marcelo-pascoal/Semaforos/refs/heads/main/fotosD/DSCF7216.JPG</v>
      </c>
      <c r="AD103" s="3" t="str">
        <f>_xlfn.CONCAT("https://raw.githubusercontent.com/marcelo-pascoal/Semaforos/refs/heads/main/fotos/",Tabela1[[#This Row],[id_0]],".jpg")</f>
        <v>https://raw.githubusercontent.com/marcelo-pascoal/Semaforos/refs/heads/main/fotos/192.jpg</v>
      </c>
      <c r="AE103" s="3" t="str">
        <f>_xlfn.CONCAT("https://raw.githubusercontent.com/marcelo-pascoal/Semaforos/refs/heads/main/fotosD/",Tabela1[[#This Row],[id_0]],".jpg")</f>
        <v>https://raw.githubusercontent.com/marcelo-pascoal/Semaforos/refs/heads/main/fotosD/192.jpg</v>
      </c>
      <c r="AF103" s="3">
        <v>5</v>
      </c>
    </row>
    <row r="104" spans="1:32" ht="250" customHeight="1" x14ac:dyDescent="0.35">
      <c r="A104" s="2" t="s">
        <v>362</v>
      </c>
      <c r="B104" s="5">
        <v>193</v>
      </c>
      <c r="C104" s="2" t="s">
        <v>374</v>
      </c>
      <c r="D104" s="1" t="s">
        <v>38</v>
      </c>
      <c r="E104" s="2" t="s">
        <v>1147</v>
      </c>
      <c r="F104" s="2" t="s">
        <v>377</v>
      </c>
      <c r="G104" s="1" t="s">
        <v>1144</v>
      </c>
      <c r="H104" s="1" t="s">
        <v>1146</v>
      </c>
      <c r="I104" s="1" t="s">
        <v>375</v>
      </c>
      <c r="J104" s="2" t="s">
        <v>376</v>
      </c>
      <c r="K104" s="2" t="s">
        <v>351</v>
      </c>
      <c r="L104" s="3"/>
      <c r="M104" s="3"/>
      <c r="N104" s="3"/>
      <c r="O104" s="3">
        <v>1</v>
      </c>
      <c r="P104" s="3">
        <v>1</v>
      </c>
      <c r="Q104" s="3">
        <v>1</v>
      </c>
      <c r="R104" s="3"/>
      <c r="S104" s="3"/>
      <c r="T104" s="3"/>
      <c r="U104" s="3"/>
      <c r="V104" s="3"/>
      <c r="W104" s="3"/>
      <c r="X104" s="3"/>
      <c r="Y104" s="3"/>
      <c r="Z104" s="3"/>
      <c r="AA104" s="3" t="s">
        <v>35</v>
      </c>
      <c r="AB104" s="6" t="str">
        <f>HYPERLINK(_xlfn.CONCAT("https://www.google.com/maps/search/",Tabela1[[#This Row],[GPS]]),"##")</f>
        <v>##</v>
      </c>
      <c r="AC104" s="3" t="str">
        <f>_xlfn.CONCAT("https://raw.githubusercontent.com/marcelo-pascoal/Semaforos/refs/heads/main/fotosD/",Tabela1[[#This Row],[Foto1]])</f>
        <v>https://raw.githubusercontent.com/marcelo-pascoal/Semaforos/refs/heads/main/fotosD/DSCF7222.JPG</v>
      </c>
      <c r="AD104" s="3" t="str">
        <f>_xlfn.CONCAT("https://raw.githubusercontent.com/marcelo-pascoal/Semaforos/refs/heads/main/fotos/",Tabela1[[#This Row],[id_0]],".jpg")</f>
        <v>https://raw.githubusercontent.com/marcelo-pascoal/Semaforos/refs/heads/main/fotos/193.jpg</v>
      </c>
      <c r="AE104" s="3" t="str">
        <f>_xlfn.CONCAT("https://raw.githubusercontent.com/marcelo-pascoal/Semaforos/refs/heads/main/fotosD/",Tabela1[[#This Row],[id_0]],".jpg")</f>
        <v>https://raw.githubusercontent.com/marcelo-pascoal/Semaforos/refs/heads/main/fotosD/193.jpg</v>
      </c>
      <c r="AF104" s="3">
        <v>1</v>
      </c>
    </row>
    <row r="105" spans="1:32" ht="250" customHeight="1" x14ac:dyDescent="0.35">
      <c r="A105" s="2" t="s">
        <v>362</v>
      </c>
      <c r="B105" s="5">
        <v>194</v>
      </c>
      <c r="C105" s="2" t="s">
        <v>378</v>
      </c>
      <c r="D105" s="1" t="s">
        <v>38</v>
      </c>
      <c r="E105" s="2" t="s">
        <v>1147</v>
      </c>
      <c r="F105" s="2" t="s">
        <v>380</v>
      </c>
      <c r="G105" s="1" t="s">
        <v>1144</v>
      </c>
      <c r="H105" s="1" t="s">
        <v>1146</v>
      </c>
      <c r="I105" s="1" t="s">
        <v>379</v>
      </c>
      <c r="J105" s="2" t="s">
        <v>376</v>
      </c>
      <c r="K105" s="2" t="s">
        <v>351</v>
      </c>
      <c r="L105" s="3"/>
      <c r="M105" s="3"/>
      <c r="N105" s="3"/>
      <c r="O105" s="3">
        <v>1</v>
      </c>
      <c r="P105" s="3">
        <v>1</v>
      </c>
      <c r="Q105" s="3">
        <v>1</v>
      </c>
      <c r="R105" s="3"/>
      <c r="S105" s="3"/>
      <c r="T105" s="3"/>
      <c r="U105" s="3"/>
      <c r="V105" s="3"/>
      <c r="W105" s="3"/>
      <c r="X105" s="3"/>
      <c r="Y105" s="3"/>
      <c r="Z105" s="3"/>
      <c r="AA105" s="3" t="s">
        <v>35</v>
      </c>
      <c r="AB105" s="6" t="str">
        <f>HYPERLINK(_xlfn.CONCAT("https://www.google.com/maps/search/",Tabela1[[#This Row],[GPS]]),"##")</f>
        <v>##</v>
      </c>
      <c r="AC105" s="3" t="str">
        <f>_xlfn.CONCAT("https://raw.githubusercontent.com/marcelo-pascoal/Semaforos/refs/heads/main/fotosD/",Tabela1[[#This Row],[Foto1]])</f>
        <v>https://raw.githubusercontent.com/marcelo-pascoal/Semaforos/refs/heads/main/fotosD/DSCF7221.JPG</v>
      </c>
      <c r="AD105" s="3" t="str">
        <f>_xlfn.CONCAT("https://raw.githubusercontent.com/marcelo-pascoal/Semaforos/refs/heads/main/fotos/",Tabela1[[#This Row],[id_0]],".jpg")</f>
        <v>https://raw.githubusercontent.com/marcelo-pascoal/Semaforos/refs/heads/main/fotos/194.jpg</v>
      </c>
      <c r="AE105" s="3" t="str">
        <f>_xlfn.CONCAT("https://raw.githubusercontent.com/marcelo-pascoal/Semaforos/refs/heads/main/fotosD/",Tabela1[[#This Row],[id_0]],".jpg")</f>
        <v>https://raw.githubusercontent.com/marcelo-pascoal/Semaforos/refs/heads/main/fotosD/194.jpg</v>
      </c>
      <c r="AF105" s="3">
        <v>1</v>
      </c>
    </row>
    <row r="106" spans="1:32" ht="250" customHeight="1" x14ac:dyDescent="0.35">
      <c r="A106" s="2" t="s">
        <v>362</v>
      </c>
      <c r="B106" s="5">
        <v>195</v>
      </c>
      <c r="C106" s="2" t="s">
        <v>381</v>
      </c>
      <c r="D106" s="1" t="s">
        <v>38</v>
      </c>
      <c r="E106" s="2" t="s">
        <v>1147</v>
      </c>
      <c r="F106" s="2" t="s">
        <v>384</v>
      </c>
      <c r="G106" s="1" t="s">
        <v>1144</v>
      </c>
      <c r="H106" s="1" t="s">
        <v>1146</v>
      </c>
      <c r="I106" s="1" t="s">
        <v>382</v>
      </c>
      <c r="J106" s="2" t="s">
        <v>383</v>
      </c>
      <c r="K106" s="2" t="s">
        <v>351</v>
      </c>
      <c r="L106" s="3"/>
      <c r="M106" s="3"/>
      <c r="N106" s="3"/>
      <c r="O106" s="3">
        <v>1</v>
      </c>
      <c r="P106" s="3">
        <v>1</v>
      </c>
      <c r="Q106" s="3">
        <v>1</v>
      </c>
      <c r="R106" s="3">
        <v>1</v>
      </c>
      <c r="S106" s="3">
        <v>1</v>
      </c>
      <c r="T106" s="3">
        <v>1</v>
      </c>
      <c r="U106" s="3">
        <v>1</v>
      </c>
      <c r="V106" s="3">
        <v>1</v>
      </c>
      <c r="W106" s="3" t="s">
        <v>40</v>
      </c>
      <c r="X106" s="3"/>
      <c r="Y106" s="3"/>
      <c r="Z106" s="3"/>
      <c r="AA106" s="3" t="s">
        <v>35</v>
      </c>
      <c r="AB106" s="6" t="str">
        <f>HYPERLINK(_xlfn.CONCAT("https://www.google.com/maps/search/",Tabela1[[#This Row],[GPS]]),"##")</f>
        <v>##</v>
      </c>
      <c r="AC106" s="3" t="str">
        <f>_xlfn.CONCAT("https://raw.githubusercontent.com/marcelo-pascoal/Semaforos/refs/heads/main/fotosD/",Tabela1[[#This Row],[Foto1]])</f>
        <v>https://raw.githubusercontent.com/marcelo-pascoal/Semaforos/refs/heads/main/fotosD/DSCF7212.JPG</v>
      </c>
      <c r="AD106" s="3" t="str">
        <f>_xlfn.CONCAT("https://raw.githubusercontent.com/marcelo-pascoal/Semaforos/refs/heads/main/fotos/",Tabela1[[#This Row],[id_0]],".jpg")</f>
        <v>https://raw.githubusercontent.com/marcelo-pascoal/Semaforos/refs/heads/main/fotos/195.jpg</v>
      </c>
      <c r="AE106" s="3" t="str">
        <f>_xlfn.CONCAT("https://raw.githubusercontent.com/marcelo-pascoal/Semaforos/refs/heads/main/fotosD/",Tabela1[[#This Row],[id_0]],".jpg")</f>
        <v>https://raw.githubusercontent.com/marcelo-pascoal/Semaforos/refs/heads/main/fotosD/195.jpg</v>
      </c>
      <c r="AF106" s="3">
        <v>1</v>
      </c>
    </row>
    <row r="107" spans="1:32" ht="250" customHeight="1" x14ac:dyDescent="0.35">
      <c r="A107" s="2" t="s">
        <v>362</v>
      </c>
      <c r="B107" s="5">
        <v>196</v>
      </c>
      <c r="C107" s="2" t="s">
        <v>385</v>
      </c>
      <c r="D107" s="1" t="s">
        <v>60</v>
      </c>
      <c r="E107" s="2" t="s">
        <v>1147</v>
      </c>
      <c r="F107" s="2" t="s">
        <v>387</v>
      </c>
      <c r="G107" s="1" t="s">
        <v>1145</v>
      </c>
      <c r="H107" s="1" t="s">
        <v>1146</v>
      </c>
      <c r="I107" s="1" t="s">
        <v>386</v>
      </c>
      <c r="J107" s="2" t="s">
        <v>372</v>
      </c>
      <c r="K107" s="2" t="s">
        <v>351</v>
      </c>
      <c r="L107" s="3">
        <v>1</v>
      </c>
      <c r="M107" s="3"/>
      <c r="N107" s="3"/>
      <c r="O107" s="3">
        <v>1</v>
      </c>
      <c r="P107" s="3">
        <v>3</v>
      </c>
      <c r="Q107" s="3">
        <v>2</v>
      </c>
      <c r="R107" s="3"/>
      <c r="S107" s="3"/>
      <c r="T107" s="3"/>
      <c r="U107" s="3">
        <v>1</v>
      </c>
      <c r="V107" s="3">
        <v>1</v>
      </c>
      <c r="W107" s="3" t="s">
        <v>40</v>
      </c>
      <c r="X107" s="3" t="s">
        <v>40</v>
      </c>
      <c r="Y107" s="3"/>
      <c r="Z107" s="3"/>
      <c r="AA107" s="3" t="s">
        <v>35</v>
      </c>
      <c r="AB107" s="6" t="str">
        <f>HYPERLINK(_xlfn.CONCAT("https://www.google.com/maps/search/",Tabela1[[#This Row],[GPS]]),"##")</f>
        <v>##</v>
      </c>
      <c r="AC107" s="3" t="str">
        <f>_xlfn.CONCAT("https://raw.githubusercontent.com/marcelo-pascoal/Semaforos/refs/heads/main/fotosD/",Tabela1[[#This Row],[Foto1]])</f>
        <v>https://raw.githubusercontent.com/marcelo-pascoal/Semaforos/refs/heads/main/fotosD/DSCF7206.JPG</v>
      </c>
      <c r="AD107" s="3" t="str">
        <f>_xlfn.CONCAT("https://raw.githubusercontent.com/marcelo-pascoal/Semaforos/refs/heads/main/fotos/",Tabela1[[#This Row],[id_0]],".jpg")</f>
        <v>https://raw.githubusercontent.com/marcelo-pascoal/Semaforos/refs/heads/main/fotos/196.jpg</v>
      </c>
      <c r="AE107" s="3" t="str">
        <f>_xlfn.CONCAT("https://raw.githubusercontent.com/marcelo-pascoal/Semaforos/refs/heads/main/fotosD/",Tabela1[[#This Row],[id_0]],".jpg")</f>
        <v>https://raw.githubusercontent.com/marcelo-pascoal/Semaforos/refs/heads/main/fotosD/196.jpg</v>
      </c>
      <c r="AF107" s="3">
        <v>1</v>
      </c>
    </row>
    <row r="108" spans="1:32" ht="250" customHeight="1" x14ac:dyDescent="0.35">
      <c r="A108" s="2" t="s">
        <v>362</v>
      </c>
      <c r="B108" s="5">
        <v>197</v>
      </c>
      <c r="C108" s="2" t="s">
        <v>388</v>
      </c>
      <c r="D108" s="1" t="s">
        <v>60</v>
      </c>
      <c r="E108" s="2" t="s">
        <v>1147</v>
      </c>
      <c r="F108" s="2" t="s">
        <v>390</v>
      </c>
      <c r="G108" s="1" t="s">
        <v>1145</v>
      </c>
      <c r="H108" s="1" t="s">
        <v>1146</v>
      </c>
      <c r="I108" s="1" t="s">
        <v>389</v>
      </c>
      <c r="J108" s="2" t="s">
        <v>372</v>
      </c>
      <c r="K108" s="2" t="s">
        <v>351</v>
      </c>
      <c r="L108" s="3">
        <v>1</v>
      </c>
      <c r="M108" s="3"/>
      <c r="N108" s="3"/>
      <c r="O108" s="3">
        <v>1</v>
      </c>
      <c r="P108" s="3">
        <v>2</v>
      </c>
      <c r="Q108" s="3">
        <v>2</v>
      </c>
      <c r="R108" s="3">
        <v>1</v>
      </c>
      <c r="S108" s="3">
        <v>1</v>
      </c>
      <c r="T108" s="3">
        <v>1</v>
      </c>
      <c r="U108" s="3"/>
      <c r="V108" s="3"/>
      <c r="W108" s="3"/>
      <c r="X108" s="3"/>
      <c r="Y108" s="3"/>
      <c r="Z108" s="3"/>
      <c r="AA108" s="3" t="s">
        <v>35</v>
      </c>
      <c r="AB108" s="6" t="str">
        <f>HYPERLINK(_xlfn.CONCAT("https://www.google.com/maps/search/",Tabela1[[#This Row],[GPS]]),"##")</f>
        <v>##</v>
      </c>
      <c r="AC108" s="3" t="str">
        <f>_xlfn.CONCAT("https://raw.githubusercontent.com/marcelo-pascoal/Semaforos/refs/heads/main/fotosD/",Tabela1[[#This Row],[Foto1]])</f>
        <v>https://raw.githubusercontent.com/marcelo-pascoal/Semaforos/refs/heads/main/fotosD/DSCF7202.JPG</v>
      </c>
      <c r="AD108" s="3" t="str">
        <f>_xlfn.CONCAT("https://raw.githubusercontent.com/marcelo-pascoal/Semaforos/refs/heads/main/fotos/",Tabela1[[#This Row],[id_0]],".jpg")</f>
        <v>https://raw.githubusercontent.com/marcelo-pascoal/Semaforos/refs/heads/main/fotos/197.jpg</v>
      </c>
      <c r="AE108" s="3" t="str">
        <f>_xlfn.CONCAT("https://raw.githubusercontent.com/marcelo-pascoal/Semaforos/refs/heads/main/fotosD/",Tabela1[[#This Row],[id_0]],".jpg")</f>
        <v>https://raw.githubusercontent.com/marcelo-pascoal/Semaforos/refs/heads/main/fotosD/197.jpg</v>
      </c>
      <c r="AF108" s="3">
        <v>5</v>
      </c>
    </row>
    <row r="109" spans="1:32" ht="250" customHeight="1" x14ac:dyDescent="0.35">
      <c r="A109" s="2" t="s">
        <v>362</v>
      </c>
      <c r="B109" s="5">
        <v>198</v>
      </c>
      <c r="C109" s="2" t="s">
        <v>391</v>
      </c>
      <c r="D109" s="1" t="s">
        <v>38</v>
      </c>
      <c r="E109" s="2" t="s">
        <v>1147</v>
      </c>
      <c r="F109" s="2" t="s">
        <v>394</v>
      </c>
      <c r="G109" s="1" t="s">
        <v>1144</v>
      </c>
      <c r="H109" s="1" t="s">
        <v>1146</v>
      </c>
      <c r="I109" s="1" t="s">
        <v>392</v>
      </c>
      <c r="J109" s="2" t="s">
        <v>393</v>
      </c>
      <c r="K109" s="2" t="s">
        <v>351</v>
      </c>
      <c r="L109" s="3"/>
      <c r="M109" s="3"/>
      <c r="N109" s="3"/>
      <c r="O109" s="3">
        <v>1</v>
      </c>
      <c r="P109" s="3">
        <v>1</v>
      </c>
      <c r="Q109" s="3">
        <v>1</v>
      </c>
      <c r="R109" s="3"/>
      <c r="S109" s="3"/>
      <c r="T109" s="3"/>
      <c r="U109" s="3">
        <v>1</v>
      </c>
      <c r="V109" s="3">
        <v>1</v>
      </c>
      <c r="W109" s="3" t="s">
        <v>40</v>
      </c>
      <c r="X109" s="3" t="s">
        <v>40</v>
      </c>
      <c r="Y109" s="3"/>
      <c r="Z109" s="3"/>
      <c r="AA109" s="3" t="s">
        <v>35</v>
      </c>
      <c r="AB109" s="6" t="str">
        <f>HYPERLINK(_xlfn.CONCAT("https://www.google.com/maps/search/",Tabela1[[#This Row],[GPS]]),"##")</f>
        <v>##</v>
      </c>
      <c r="AC109" s="3" t="str">
        <f>_xlfn.CONCAT("https://raw.githubusercontent.com/marcelo-pascoal/Semaforos/refs/heads/main/fotosD/",Tabela1[[#This Row],[Foto1]])</f>
        <v>https://raw.githubusercontent.com/marcelo-pascoal/Semaforos/refs/heads/main/fotosD/DSCF7198.JPG</v>
      </c>
      <c r="AD109" s="3" t="str">
        <f>_xlfn.CONCAT("https://raw.githubusercontent.com/marcelo-pascoal/Semaforos/refs/heads/main/fotos/",Tabela1[[#This Row],[id_0]],".jpg")</f>
        <v>https://raw.githubusercontent.com/marcelo-pascoal/Semaforos/refs/heads/main/fotos/198.jpg</v>
      </c>
      <c r="AE109" s="3" t="str">
        <f>_xlfn.CONCAT("https://raw.githubusercontent.com/marcelo-pascoal/Semaforos/refs/heads/main/fotosD/",Tabela1[[#This Row],[id_0]],".jpg")</f>
        <v>https://raw.githubusercontent.com/marcelo-pascoal/Semaforos/refs/heads/main/fotosD/198.jpg</v>
      </c>
      <c r="AF109" s="3">
        <v>1</v>
      </c>
    </row>
    <row r="110" spans="1:32" ht="250" customHeight="1" x14ac:dyDescent="0.35">
      <c r="A110" s="2" t="s">
        <v>362</v>
      </c>
      <c r="B110" s="5">
        <v>199</v>
      </c>
      <c r="C110" s="2" t="s">
        <v>395</v>
      </c>
      <c r="D110" s="1" t="s">
        <v>38</v>
      </c>
      <c r="E110" s="2" t="s">
        <v>1147</v>
      </c>
      <c r="F110" s="2" t="s">
        <v>397</v>
      </c>
      <c r="G110" s="1" t="s">
        <v>1144</v>
      </c>
      <c r="H110" s="1" t="s">
        <v>1146</v>
      </c>
      <c r="I110" s="1" t="s">
        <v>396</v>
      </c>
      <c r="J110" s="2" t="s">
        <v>393</v>
      </c>
      <c r="K110" s="2" t="s">
        <v>351</v>
      </c>
      <c r="L110" s="3"/>
      <c r="M110" s="3"/>
      <c r="N110" s="3"/>
      <c r="O110" s="3">
        <v>1</v>
      </c>
      <c r="P110" s="3">
        <v>1</v>
      </c>
      <c r="Q110" s="3">
        <v>1</v>
      </c>
      <c r="R110" s="3"/>
      <c r="S110" s="3"/>
      <c r="T110" s="3"/>
      <c r="U110" s="3">
        <v>1</v>
      </c>
      <c r="V110" s="3">
        <v>1</v>
      </c>
      <c r="W110" s="3" t="s">
        <v>40</v>
      </c>
      <c r="X110" s="3" t="s">
        <v>40</v>
      </c>
      <c r="Y110" s="3"/>
      <c r="Z110" s="3"/>
      <c r="AA110" s="3" t="s">
        <v>35</v>
      </c>
      <c r="AB110" s="6" t="str">
        <f>HYPERLINK(_xlfn.CONCAT("https://www.google.com/maps/search/",Tabela1[[#This Row],[GPS]]),"##")</f>
        <v>##</v>
      </c>
      <c r="AC110" s="3" t="str">
        <f>_xlfn.CONCAT("https://raw.githubusercontent.com/marcelo-pascoal/Semaforos/refs/heads/main/fotosD/",Tabela1[[#This Row],[Foto1]])</f>
        <v>https://raw.githubusercontent.com/marcelo-pascoal/Semaforos/refs/heads/main/fotosD/DSCF7197.JPG</v>
      </c>
      <c r="AD110" s="3" t="str">
        <f>_xlfn.CONCAT("https://raw.githubusercontent.com/marcelo-pascoal/Semaforos/refs/heads/main/fotos/",Tabela1[[#This Row],[id_0]],".jpg")</f>
        <v>https://raw.githubusercontent.com/marcelo-pascoal/Semaforos/refs/heads/main/fotos/199.jpg</v>
      </c>
      <c r="AE110" s="3" t="str">
        <f>_xlfn.CONCAT("https://raw.githubusercontent.com/marcelo-pascoal/Semaforos/refs/heads/main/fotosD/",Tabela1[[#This Row],[id_0]],".jpg")</f>
        <v>https://raw.githubusercontent.com/marcelo-pascoal/Semaforos/refs/heads/main/fotosD/199.jpg</v>
      </c>
      <c r="AF110" s="3">
        <v>1</v>
      </c>
    </row>
    <row r="111" spans="1:32" ht="250" customHeight="1" x14ac:dyDescent="0.35">
      <c r="A111" s="2" t="s">
        <v>362</v>
      </c>
      <c r="B111" s="5">
        <v>200</v>
      </c>
      <c r="C111" s="2" t="s">
        <v>398</v>
      </c>
      <c r="D111" s="1" t="s">
        <v>60</v>
      </c>
      <c r="E111" s="2" t="s">
        <v>1147</v>
      </c>
      <c r="F111" s="2" t="s">
        <v>400</v>
      </c>
      <c r="G111" s="1" t="s">
        <v>1145</v>
      </c>
      <c r="H111" s="1" t="s">
        <v>1146</v>
      </c>
      <c r="I111" s="1" t="s">
        <v>399</v>
      </c>
      <c r="J111" s="2" t="s">
        <v>337</v>
      </c>
      <c r="K111" s="2" t="s">
        <v>351</v>
      </c>
      <c r="L111" s="3">
        <v>1</v>
      </c>
      <c r="M111" s="3"/>
      <c r="N111" s="3"/>
      <c r="O111" s="3">
        <v>1</v>
      </c>
      <c r="P111" s="3">
        <v>3</v>
      </c>
      <c r="Q111" s="3">
        <v>2</v>
      </c>
      <c r="R111" s="3">
        <v>1</v>
      </c>
      <c r="S111" s="3">
        <v>1</v>
      </c>
      <c r="T111" s="3">
        <v>1</v>
      </c>
      <c r="U111" s="3"/>
      <c r="V111" s="3"/>
      <c r="W111" s="3"/>
      <c r="X111" s="3"/>
      <c r="Y111" s="3"/>
      <c r="Z111" s="3"/>
      <c r="AA111" s="3" t="s">
        <v>35</v>
      </c>
      <c r="AB111" s="6" t="str">
        <f>HYPERLINK(_xlfn.CONCAT("https://www.google.com/maps/search/",Tabela1[[#This Row],[GPS]]),"##")</f>
        <v>##</v>
      </c>
      <c r="AC111" s="3" t="str">
        <f>_xlfn.CONCAT("https://raw.githubusercontent.com/marcelo-pascoal/Semaforos/refs/heads/main/fotosD/",Tabela1[[#This Row],[Foto1]])</f>
        <v>https://raw.githubusercontent.com/marcelo-pascoal/Semaforos/refs/heads/main/fotosD/DSCF7186.JPG</v>
      </c>
      <c r="AD111" s="3" t="str">
        <f>_xlfn.CONCAT("https://raw.githubusercontent.com/marcelo-pascoal/Semaforos/refs/heads/main/fotos/",Tabela1[[#This Row],[id_0]],".jpg")</f>
        <v>https://raw.githubusercontent.com/marcelo-pascoal/Semaforos/refs/heads/main/fotos/200.jpg</v>
      </c>
      <c r="AE111" s="3" t="str">
        <f>_xlfn.CONCAT("https://raw.githubusercontent.com/marcelo-pascoal/Semaforos/refs/heads/main/fotosD/",Tabela1[[#This Row],[id_0]],".jpg")</f>
        <v>https://raw.githubusercontent.com/marcelo-pascoal/Semaforos/refs/heads/main/fotosD/200.jpg</v>
      </c>
      <c r="AF111" s="3">
        <v>5</v>
      </c>
    </row>
    <row r="112" spans="1:32" ht="250" customHeight="1" x14ac:dyDescent="0.35">
      <c r="A112" s="2" t="s">
        <v>362</v>
      </c>
      <c r="B112" s="5">
        <v>201</v>
      </c>
      <c r="C112" s="2" t="s">
        <v>401</v>
      </c>
      <c r="D112" s="1" t="s">
        <v>31</v>
      </c>
      <c r="F112" s="2" t="s">
        <v>352</v>
      </c>
      <c r="G112" s="1" t="s">
        <v>1144</v>
      </c>
      <c r="H112" s="1" t="s">
        <v>31</v>
      </c>
      <c r="I112" s="1" t="s">
        <v>402</v>
      </c>
      <c r="J112" s="2" t="s">
        <v>337</v>
      </c>
      <c r="K112" s="2" t="s">
        <v>351</v>
      </c>
      <c r="L112" s="3"/>
      <c r="M112" s="3">
        <v>2</v>
      </c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 t="s">
        <v>35</v>
      </c>
      <c r="AB112" s="6" t="str">
        <f>HYPERLINK(_xlfn.CONCAT("https://www.google.com/maps/search/",Tabela1[[#This Row],[GPS]]),"##")</f>
        <v>##</v>
      </c>
      <c r="AC112" s="3" t="str">
        <f>_xlfn.CONCAT("https://raw.githubusercontent.com/marcelo-pascoal/Semaforos/refs/heads/main/fotosD/",Tabela1[[#This Row],[Foto1]])</f>
        <v>https://raw.githubusercontent.com/marcelo-pascoal/Semaforos/refs/heads/main/fotosD/DSCF7245.JPG</v>
      </c>
      <c r="AD112" s="3" t="str">
        <f>_xlfn.CONCAT("https://raw.githubusercontent.com/marcelo-pascoal/Semaforos/refs/heads/main/fotos/",Tabela1[[#This Row],[id_0]],".jpg")</f>
        <v>https://raw.githubusercontent.com/marcelo-pascoal/Semaforos/refs/heads/main/fotos/201.jpg</v>
      </c>
      <c r="AE112" s="3" t="str">
        <f>_xlfn.CONCAT("https://raw.githubusercontent.com/marcelo-pascoal/Semaforos/refs/heads/main/fotosD/",Tabela1[[#This Row],[id_0]],".jpg")</f>
        <v>https://raw.githubusercontent.com/marcelo-pascoal/Semaforos/refs/heads/main/fotosD/201.jpg</v>
      </c>
      <c r="AF112" s="3">
        <v>5</v>
      </c>
    </row>
    <row r="113" spans="1:32" ht="250" customHeight="1" x14ac:dyDescent="0.35">
      <c r="A113" s="2" t="s">
        <v>362</v>
      </c>
      <c r="B113" s="5">
        <v>454</v>
      </c>
      <c r="C113" s="2" t="s">
        <v>403</v>
      </c>
      <c r="D113" s="1" t="s">
        <v>38</v>
      </c>
      <c r="E113" s="2" t="s">
        <v>1147</v>
      </c>
      <c r="F113" s="2" t="s">
        <v>405</v>
      </c>
      <c r="G113" s="1" t="s">
        <v>1144</v>
      </c>
      <c r="H113" s="1" t="s">
        <v>1146</v>
      </c>
      <c r="I113" s="1" t="s">
        <v>404</v>
      </c>
      <c r="J113" s="2" t="s">
        <v>393</v>
      </c>
      <c r="K113" s="2" t="s">
        <v>351</v>
      </c>
      <c r="L113" s="3"/>
      <c r="M113" s="3"/>
      <c r="N113" s="3"/>
      <c r="O113" s="3"/>
      <c r="P113" s="3"/>
      <c r="Q113" s="3"/>
      <c r="R113" s="3"/>
      <c r="S113" s="3"/>
      <c r="T113" s="3"/>
      <c r="U113" s="3">
        <v>1</v>
      </c>
      <c r="V113" s="3">
        <v>1</v>
      </c>
      <c r="W113" s="3" t="s">
        <v>40</v>
      </c>
      <c r="X113" s="3" t="s">
        <v>40</v>
      </c>
      <c r="Y113" s="3"/>
      <c r="Z113" s="3"/>
      <c r="AA113" s="3" t="s">
        <v>35</v>
      </c>
      <c r="AB113" s="6" t="str">
        <f>HYPERLINK(_xlfn.CONCAT("https://www.google.com/maps/search/",Tabela1[[#This Row],[GPS]]),"##")</f>
        <v>##</v>
      </c>
      <c r="AC113" s="3" t="str">
        <f>_xlfn.CONCAT("https://raw.githubusercontent.com/marcelo-pascoal/Semaforos/refs/heads/main/fotosD/",Tabela1[[#This Row],[Foto1]])</f>
        <v>https://raw.githubusercontent.com/marcelo-pascoal/Semaforos/refs/heads/main/fotosD/DSCF7200.JPG</v>
      </c>
      <c r="AD113" s="3" t="str">
        <f>_xlfn.CONCAT("https://raw.githubusercontent.com/marcelo-pascoal/Semaforos/refs/heads/main/fotos/",Tabela1[[#This Row],[id_0]],".jpg")</f>
        <v>https://raw.githubusercontent.com/marcelo-pascoal/Semaforos/refs/heads/main/fotos/454.jpg</v>
      </c>
      <c r="AE113" s="3" t="str">
        <f>_xlfn.CONCAT("https://raw.githubusercontent.com/marcelo-pascoal/Semaforos/refs/heads/main/fotosD/",Tabela1[[#This Row],[id_0]],".jpg")</f>
        <v>https://raw.githubusercontent.com/marcelo-pascoal/Semaforos/refs/heads/main/fotosD/454.jpg</v>
      </c>
      <c r="AF113" s="3">
        <v>5</v>
      </c>
    </row>
    <row r="114" spans="1:32" ht="250" customHeight="1" x14ac:dyDescent="0.35">
      <c r="A114" s="2" t="s">
        <v>362</v>
      </c>
      <c r="B114" s="5">
        <v>455</v>
      </c>
      <c r="C114" s="2" t="s">
        <v>406</v>
      </c>
      <c r="D114" s="1" t="s">
        <v>38</v>
      </c>
      <c r="E114" s="2" t="s">
        <v>1147</v>
      </c>
      <c r="F114" s="2" t="s">
        <v>408</v>
      </c>
      <c r="G114" s="1" t="s">
        <v>1144</v>
      </c>
      <c r="H114" s="1" t="s">
        <v>1146</v>
      </c>
      <c r="I114" s="1" t="s">
        <v>407</v>
      </c>
      <c r="J114" s="2" t="s">
        <v>393</v>
      </c>
      <c r="K114" s="2" t="s">
        <v>351</v>
      </c>
      <c r="L114" s="3"/>
      <c r="M114" s="3"/>
      <c r="N114" s="3"/>
      <c r="O114" s="3"/>
      <c r="P114" s="3"/>
      <c r="Q114" s="3"/>
      <c r="R114" s="3"/>
      <c r="S114" s="3"/>
      <c r="T114" s="3"/>
      <c r="U114" s="3">
        <v>1</v>
      </c>
      <c r="V114" s="3">
        <v>1</v>
      </c>
      <c r="W114" s="3" t="s">
        <v>40</v>
      </c>
      <c r="X114" s="3" t="s">
        <v>40</v>
      </c>
      <c r="Y114" s="3"/>
      <c r="Z114" s="3"/>
      <c r="AA114" s="3" t="s">
        <v>35</v>
      </c>
      <c r="AB114" s="6" t="str">
        <f>HYPERLINK(_xlfn.CONCAT("https://www.google.com/maps/search/",Tabela1[[#This Row],[GPS]]),"##")</f>
        <v>##</v>
      </c>
      <c r="AC114" s="3" t="str">
        <f>_xlfn.CONCAT("https://raw.githubusercontent.com/marcelo-pascoal/Semaforos/refs/heads/main/fotosD/",Tabela1[[#This Row],[Foto1]])</f>
        <v>https://raw.githubusercontent.com/marcelo-pascoal/Semaforos/refs/heads/main/fotosD/DSCF7199.JPG</v>
      </c>
      <c r="AD114" s="3" t="str">
        <f>_xlfn.CONCAT("https://raw.githubusercontent.com/marcelo-pascoal/Semaforos/refs/heads/main/fotos/",Tabela1[[#This Row],[id_0]],".jpg")</f>
        <v>https://raw.githubusercontent.com/marcelo-pascoal/Semaforos/refs/heads/main/fotos/455.jpg</v>
      </c>
      <c r="AE114" s="3" t="str">
        <f>_xlfn.CONCAT("https://raw.githubusercontent.com/marcelo-pascoal/Semaforos/refs/heads/main/fotosD/",Tabela1[[#This Row],[id_0]],".jpg")</f>
        <v>https://raw.githubusercontent.com/marcelo-pascoal/Semaforos/refs/heads/main/fotosD/455.jpg</v>
      </c>
      <c r="AF114" s="3">
        <v>5</v>
      </c>
    </row>
    <row r="115" spans="1:32" ht="250" customHeight="1" x14ac:dyDescent="0.35">
      <c r="A115" s="2" t="s">
        <v>362</v>
      </c>
      <c r="B115" s="5">
        <v>456</v>
      </c>
      <c r="C115" s="2" t="s">
        <v>409</v>
      </c>
      <c r="D115" s="1" t="s">
        <v>38</v>
      </c>
      <c r="E115" s="2" t="s">
        <v>1147</v>
      </c>
      <c r="F115" s="2" t="s">
        <v>411</v>
      </c>
      <c r="G115" s="1" t="s">
        <v>1144</v>
      </c>
      <c r="H115" s="1" t="s">
        <v>1146</v>
      </c>
      <c r="I115" s="1" t="s">
        <v>410</v>
      </c>
      <c r="J115" s="2" t="s">
        <v>372</v>
      </c>
      <c r="K115" s="2" t="s">
        <v>351</v>
      </c>
      <c r="L115" s="3"/>
      <c r="M115" s="3"/>
      <c r="N115" s="3"/>
      <c r="O115" s="3"/>
      <c r="P115" s="3">
        <v>1</v>
      </c>
      <c r="Q115" s="3"/>
      <c r="R115" s="3"/>
      <c r="S115" s="3"/>
      <c r="T115" s="3"/>
      <c r="U115" s="3">
        <v>1</v>
      </c>
      <c r="V115" s="3">
        <v>1</v>
      </c>
      <c r="W115" s="3" t="s">
        <v>40</v>
      </c>
      <c r="X115" s="3" t="s">
        <v>40</v>
      </c>
      <c r="Y115" s="3"/>
      <c r="Z115" s="3"/>
      <c r="AA115" s="3" t="s">
        <v>35</v>
      </c>
      <c r="AB115" s="6" t="str">
        <f>HYPERLINK(_xlfn.CONCAT("https://www.google.com/maps/search/",Tabela1[[#This Row],[GPS]]),"##")</f>
        <v>##</v>
      </c>
      <c r="AC115" s="3" t="str">
        <f>_xlfn.CONCAT("https://raw.githubusercontent.com/marcelo-pascoal/Semaforos/refs/heads/main/fotosD/",Tabela1[[#This Row],[Foto1]])</f>
        <v>https://raw.githubusercontent.com/marcelo-pascoal/Semaforos/refs/heads/main/fotosD/DSCF7209.JPG</v>
      </c>
      <c r="AD115" s="3" t="str">
        <f>_xlfn.CONCAT("https://raw.githubusercontent.com/marcelo-pascoal/Semaforos/refs/heads/main/fotos/",Tabela1[[#This Row],[id_0]],".jpg")</f>
        <v>https://raw.githubusercontent.com/marcelo-pascoal/Semaforos/refs/heads/main/fotos/456.jpg</v>
      </c>
      <c r="AE115" s="3" t="str">
        <f>_xlfn.CONCAT("https://raw.githubusercontent.com/marcelo-pascoal/Semaforos/refs/heads/main/fotosD/",Tabela1[[#This Row],[id_0]],".jpg")</f>
        <v>https://raw.githubusercontent.com/marcelo-pascoal/Semaforos/refs/heads/main/fotosD/456.jpg</v>
      </c>
      <c r="AF115" s="3">
        <v>5</v>
      </c>
    </row>
    <row r="116" spans="1:32" ht="250" customHeight="1" x14ac:dyDescent="0.35">
      <c r="A116" s="2" t="s">
        <v>362</v>
      </c>
      <c r="B116" s="5">
        <v>457</v>
      </c>
      <c r="C116" s="2" t="s">
        <v>412</v>
      </c>
      <c r="D116" s="1" t="s">
        <v>38</v>
      </c>
      <c r="E116" s="2" t="s">
        <v>1147</v>
      </c>
      <c r="F116" s="2" t="s">
        <v>414</v>
      </c>
      <c r="G116" s="1" t="s">
        <v>1144</v>
      </c>
      <c r="H116" s="1" t="s">
        <v>1146</v>
      </c>
      <c r="I116" s="1" t="s">
        <v>413</v>
      </c>
      <c r="J116" s="2" t="s">
        <v>383</v>
      </c>
      <c r="K116" s="2" t="s">
        <v>351</v>
      </c>
      <c r="L116" s="3"/>
      <c r="M116" s="3"/>
      <c r="N116" s="3"/>
      <c r="O116" s="3"/>
      <c r="P116" s="3">
        <v>1</v>
      </c>
      <c r="Q116" s="3"/>
      <c r="R116" s="3"/>
      <c r="S116" s="3"/>
      <c r="T116" s="3"/>
      <c r="U116" s="3">
        <v>1</v>
      </c>
      <c r="V116" s="3">
        <v>1</v>
      </c>
      <c r="W116" s="3" t="s">
        <v>40</v>
      </c>
      <c r="X116" s="3"/>
      <c r="Y116" s="3"/>
      <c r="Z116" s="3"/>
      <c r="AA116" s="3" t="s">
        <v>35</v>
      </c>
      <c r="AB116" s="6" t="str">
        <f>HYPERLINK(_xlfn.CONCAT("https://www.google.com/maps/search/",Tabela1[[#This Row],[GPS]]),"##")</f>
        <v>##</v>
      </c>
      <c r="AC116" s="3" t="str">
        <f>_xlfn.CONCAT("https://raw.githubusercontent.com/marcelo-pascoal/Semaforos/refs/heads/main/fotosD/",Tabela1[[#This Row],[Foto1]])</f>
        <v>https://raw.githubusercontent.com/marcelo-pascoal/Semaforos/refs/heads/main/fotosD/DSCF7215.JPG</v>
      </c>
      <c r="AD116" s="3" t="str">
        <f>_xlfn.CONCAT("https://raw.githubusercontent.com/marcelo-pascoal/Semaforos/refs/heads/main/fotos/",Tabela1[[#This Row],[id_0]],".jpg")</f>
        <v>https://raw.githubusercontent.com/marcelo-pascoal/Semaforos/refs/heads/main/fotos/457.jpg</v>
      </c>
      <c r="AE116" s="3" t="str">
        <f>_xlfn.CONCAT("https://raw.githubusercontent.com/marcelo-pascoal/Semaforos/refs/heads/main/fotosD/",Tabela1[[#This Row],[id_0]],".jpg")</f>
        <v>https://raw.githubusercontent.com/marcelo-pascoal/Semaforos/refs/heads/main/fotosD/457.jpg</v>
      </c>
      <c r="AF116" s="3">
        <v>1</v>
      </c>
    </row>
    <row r="117" spans="1:32" ht="250" customHeight="1" x14ac:dyDescent="0.35">
      <c r="A117" s="2" t="s">
        <v>415</v>
      </c>
      <c r="B117" s="5">
        <v>186</v>
      </c>
      <c r="C117" s="2" t="s">
        <v>416</v>
      </c>
      <c r="D117" s="1" t="s">
        <v>31</v>
      </c>
      <c r="E117" s="2" t="s">
        <v>1147</v>
      </c>
      <c r="F117" s="2" t="s">
        <v>418</v>
      </c>
      <c r="G117" s="1" t="s">
        <v>1144</v>
      </c>
      <c r="H117" s="1" t="s">
        <v>31</v>
      </c>
      <c r="I117" s="1" t="s">
        <v>417</v>
      </c>
      <c r="J117" s="2" t="s">
        <v>337</v>
      </c>
      <c r="K117" s="2" t="s">
        <v>351</v>
      </c>
      <c r="L117" s="3"/>
      <c r="M117" s="3">
        <v>2</v>
      </c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 t="s">
        <v>35</v>
      </c>
      <c r="AB117" s="6" t="str">
        <f>HYPERLINK(_xlfn.CONCAT("https://www.google.com/maps/search/",Tabela1[[#This Row],[GPS]]),"##")</f>
        <v>##</v>
      </c>
      <c r="AC117" s="3" t="str">
        <f>_xlfn.CONCAT("https://raw.githubusercontent.com/marcelo-pascoal/Semaforos/refs/heads/main/fotosD/",Tabela1[[#This Row],[Foto1]])</f>
        <v>https://raw.githubusercontent.com/marcelo-pascoal/Semaforos/refs/heads/main/fotosD/DSCF7227.JPG</v>
      </c>
      <c r="AD117" s="3" t="str">
        <f>_xlfn.CONCAT("https://raw.githubusercontent.com/marcelo-pascoal/Semaforos/refs/heads/main/fotos/",Tabela1[[#This Row],[id_0]],".jpg")</f>
        <v>https://raw.githubusercontent.com/marcelo-pascoal/Semaforos/refs/heads/main/fotos/186.jpg</v>
      </c>
      <c r="AE117" s="3" t="str">
        <f>_xlfn.CONCAT("https://raw.githubusercontent.com/marcelo-pascoal/Semaforos/refs/heads/main/fotosD/",Tabela1[[#This Row],[id_0]],".jpg")</f>
        <v>https://raw.githubusercontent.com/marcelo-pascoal/Semaforos/refs/heads/main/fotosD/186.jpg</v>
      </c>
      <c r="AF117" s="3">
        <v>5</v>
      </c>
    </row>
    <row r="118" spans="1:32" ht="250" customHeight="1" x14ac:dyDescent="0.35">
      <c r="A118" s="2" t="s">
        <v>415</v>
      </c>
      <c r="B118" s="5">
        <v>187</v>
      </c>
      <c r="C118" s="2" t="s">
        <v>419</v>
      </c>
      <c r="D118" s="1" t="s">
        <v>60</v>
      </c>
      <c r="F118" s="2" t="s">
        <v>421</v>
      </c>
      <c r="G118" s="1" t="s">
        <v>1145</v>
      </c>
      <c r="H118" s="1" t="s">
        <v>1146</v>
      </c>
      <c r="I118" s="1" t="s">
        <v>420</v>
      </c>
      <c r="J118" s="2" t="s">
        <v>337</v>
      </c>
      <c r="K118" s="2" t="s">
        <v>351</v>
      </c>
      <c r="L118" s="3"/>
      <c r="M118" s="3"/>
      <c r="N118" s="3"/>
      <c r="O118" s="3"/>
      <c r="P118" s="3"/>
      <c r="Q118" s="3"/>
      <c r="R118" s="3">
        <v>1</v>
      </c>
      <c r="S118" s="3">
        <v>1</v>
      </c>
      <c r="T118" s="3">
        <v>1</v>
      </c>
      <c r="U118" s="3"/>
      <c r="V118" s="3"/>
      <c r="W118" s="3"/>
      <c r="X118" s="3"/>
      <c r="Y118" s="3"/>
      <c r="Z118" s="3"/>
      <c r="AA118" s="3" t="s">
        <v>35</v>
      </c>
      <c r="AB118" s="6" t="str">
        <f>HYPERLINK(_xlfn.CONCAT("https://www.google.com/maps/search/",Tabela1[[#This Row],[GPS]]),"##")</f>
        <v>##</v>
      </c>
      <c r="AC118" s="3" t="str">
        <f>_xlfn.CONCAT("https://raw.githubusercontent.com/marcelo-pascoal/Semaforos/refs/heads/main/fotosD/",Tabela1[[#This Row],[Foto1]])</f>
        <v>https://raw.githubusercontent.com/marcelo-pascoal/Semaforos/refs/heads/main/fotosD/DSCF7229.JPG</v>
      </c>
      <c r="AD118" s="3" t="str">
        <f>_xlfn.CONCAT("https://raw.githubusercontent.com/marcelo-pascoal/Semaforos/refs/heads/main/fotos/",Tabela1[[#This Row],[id_0]],".jpg")</f>
        <v>https://raw.githubusercontent.com/marcelo-pascoal/Semaforos/refs/heads/main/fotos/187.jpg</v>
      </c>
      <c r="AE118" s="3" t="str">
        <f>_xlfn.CONCAT("https://raw.githubusercontent.com/marcelo-pascoal/Semaforos/refs/heads/main/fotosD/",Tabela1[[#This Row],[id_0]],".jpg")</f>
        <v>https://raw.githubusercontent.com/marcelo-pascoal/Semaforos/refs/heads/main/fotosD/187.jpg</v>
      </c>
      <c r="AF118" s="3">
        <v>4</v>
      </c>
    </row>
    <row r="119" spans="1:32" ht="250" customHeight="1" x14ac:dyDescent="0.35">
      <c r="A119" s="2" t="s">
        <v>415</v>
      </c>
      <c r="B119" s="5">
        <v>188</v>
      </c>
      <c r="C119" s="2" t="s">
        <v>422</v>
      </c>
      <c r="D119" s="1" t="s">
        <v>60</v>
      </c>
      <c r="E119" s="2" t="s">
        <v>1147</v>
      </c>
      <c r="F119" s="2" t="s">
        <v>424</v>
      </c>
      <c r="G119" s="1" t="s">
        <v>1145</v>
      </c>
      <c r="H119" s="1" t="s">
        <v>1146</v>
      </c>
      <c r="I119" s="1" t="s">
        <v>423</v>
      </c>
      <c r="J119" s="2" t="s">
        <v>337</v>
      </c>
      <c r="K119" s="2" t="s">
        <v>351</v>
      </c>
      <c r="L119" s="3">
        <v>1</v>
      </c>
      <c r="M119" s="3"/>
      <c r="N119" s="3"/>
      <c r="O119" s="3">
        <v>1</v>
      </c>
      <c r="P119" s="3">
        <v>2</v>
      </c>
      <c r="Q119" s="3">
        <v>2</v>
      </c>
      <c r="R119" s="3">
        <v>1</v>
      </c>
      <c r="S119" s="3">
        <v>1</v>
      </c>
      <c r="T119" s="3">
        <v>1</v>
      </c>
      <c r="U119" s="3"/>
      <c r="V119" s="3"/>
      <c r="W119" s="3"/>
      <c r="X119" s="3"/>
      <c r="Y119" s="3"/>
      <c r="Z119" s="3"/>
      <c r="AA119" s="3" t="s">
        <v>35</v>
      </c>
      <c r="AB119" s="6" t="str">
        <f>HYPERLINK(_xlfn.CONCAT("https://www.google.com/maps/search/",Tabela1[[#This Row],[GPS]]),"##")</f>
        <v>##</v>
      </c>
      <c r="AC119" s="3" t="str">
        <f>_xlfn.CONCAT("https://raw.githubusercontent.com/marcelo-pascoal/Semaforos/refs/heads/main/fotosD/",Tabela1[[#This Row],[Foto1]])</f>
        <v>https://raw.githubusercontent.com/marcelo-pascoal/Semaforos/refs/heads/main/fotosD/DSCF7225.JPG</v>
      </c>
      <c r="AD119" s="3" t="str">
        <f>_xlfn.CONCAT("https://raw.githubusercontent.com/marcelo-pascoal/Semaforos/refs/heads/main/fotos/",Tabela1[[#This Row],[id_0]],".jpg")</f>
        <v>https://raw.githubusercontent.com/marcelo-pascoal/Semaforos/refs/heads/main/fotos/188.jpg</v>
      </c>
      <c r="AE119" s="3" t="str">
        <f>_xlfn.CONCAT("https://raw.githubusercontent.com/marcelo-pascoal/Semaforos/refs/heads/main/fotosD/",Tabela1[[#This Row],[id_0]],".jpg")</f>
        <v>https://raw.githubusercontent.com/marcelo-pascoal/Semaforos/refs/heads/main/fotosD/188.jpg</v>
      </c>
      <c r="AF119" s="3">
        <v>4</v>
      </c>
    </row>
    <row r="120" spans="1:32" ht="250" customHeight="1" x14ac:dyDescent="0.35">
      <c r="A120" s="2" t="s">
        <v>415</v>
      </c>
      <c r="B120" s="5">
        <v>189</v>
      </c>
      <c r="C120" s="2" t="s">
        <v>425</v>
      </c>
      <c r="D120" s="1" t="s">
        <v>31</v>
      </c>
      <c r="E120" s="2" t="s">
        <v>1147</v>
      </c>
      <c r="F120" s="2" t="s">
        <v>427</v>
      </c>
      <c r="G120" s="1" t="s">
        <v>1144</v>
      </c>
      <c r="H120" s="1" t="s">
        <v>31</v>
      </c>
      <c r="I120" s="1" t="s">
        <v>426</v>
      </c>
      <c r="J120" s="2" t="s">
        <v>337</v>
      </c>
      <c r="K120" s="2" t="s">
        <v>351</v>
      </c>
      <c r="L120" s="3"/>
      <c r="M120" s="3">
        <v>1</v>
      </c>
      <c r="N120" s="3"/>
      <c r="O120" s="3"/>
      <c r="P120" s="3">
        <v>1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 t="s">
        <v>35</v>
      </c>
      <c r="AB120" s="6" t="str">
        <f>HYPERLINK(_xlfn.CONCAT("https://www.google.com/maps/search/",Tabela1[[#This Row],[GPS]]),"##")</f>
        <v>##</v>
      </c>
      <c r="AC120" s="3" t="str">
        <f>_xlfn.CONCAT("https://raw.githubusercontent.com/marcelo-pascoal/Semaforos/refs/heads/main/fotosD/",Tabela1[[#This Row],[Foto1]])</f>
        <v>https://raw.githubusercontent.com/marcelo-pascoal/Semaforos/refs/heads/main/fotosD/DSCF7223.JPG</v>
      </c>
      <c r="AD120" s="3" t="str">
        <f>_xlfn.CONCAT("https://raw.githubusercontent.com/marcelo-pascoal/Semaforos/refs/heads/main/fotos/",Tabela1[[#This Row],[id_0]],".jpg")</f>
        <v>https://raw.githubusercontent.com/marcelo-pascoal/Semaforos/refs/heads/main/fotos/189.jpg</v>
      </c>
      <c r="AE120" s="3" t="str">
        <f>_xlfn.CONCAT("https://raw.githubusercontent.com/marcelo-pascoal/Semaforos/refs/heads/main/fotosD/",Tabela1[[#This Row],[id_0]],".jpg")</f>
        <v>https://raw.githubusercontent.com/marcelo-pascoal/Semaforos/refs/heads/main/fotosD/189.jpg</v>
      </c>
      <c r="AF120" s="3">
        <v>5</v>
      </c>
    </row>
    <row r="121" spans="1:32" ht="250" customHeight="1" x14ac:dyDescent="0.35">
      <c r="A121" s="2" t="s">
        <v>428</v>
      </c>
      <c r="B121" s="5">
        <v>182</v>
      </c>
      <c r="C121" s="2" t="s">
        <v>429</v>
      </c>
      <c r="D121" s="1" t="s">
        <v>31</v>
      </c>
      <c r="F121" s="2" t="s">
        <v>433</v>
      </c>
      <c r="G121" s="1" t="s">
        <v>1144</v>
      </c>
      <c r="H121" s="1" t="s">
        <v>31</v>
      </c>
      <c r="I121" s="1" t="s">
        <v>430</v>
      </c>
      <c r="J121" s="2" t="s">
        <v>431</v>
      </c>
      <c r="K121" s="2" t="s">
        <v>432</v>
      </c>
      <c r="L121" s="3"/>
      <c r="M121" s="3">
        <v>0</v>
      </c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 t="s">
        <v>35</v>
      </c>
      <c r="AB121" s="6" t="str">
        <f>HYPERLINK(_xlfn.CONCAT("https://www.google.com/maps/search/",Tabela1[[#This Row],[GPS]]),"##")</f>
        <v>##</v>
      </c>
      <c r="AC121" s="3" t="str">
        <f>_xlfn.CONCAT("https://raw.githubusercontent.com/marcelo-pascoal/Semaforos/refs/heads/main/fotosD/",Tabela1[[#This Row],[Foto1]])</f>
        <v>https://raw.githubusercontent.com/marcelo-pascoal/Semaforos/refs/heads/main/fotosD/DSCF9999.JPG</v>
      </c>
      <c r="AD121" s="3" t="str">
        <f>_xlfn.CONCAT("https://raw.githubusercontent.com/marcelo-pascoal/Semaforos/refs/heads/main/fotos/",Tabela1[[#This Row],[id_0]],".jpg")</f>
        <v>https://raw.githubusercontent.com/marcelo-pascoal/Semaforos/refs/heads/main/fotos/182.jpg</v>
      </c>
      <c r="AE121" s="3" t="str">
        <f>_xlfn.CONCAT("https://raw.githubusercontent.com/marcelo-pascoal/Semaforos/refs/heads/main/fotosD/",Tabela1[[#This Row],[id_0]],".jpg")</f>
        <v>https://raw.githubusercontent.com/marcelo-pascoal/Semaforos/refs/heads/main/fotosD/182.jpg</v>
      </c>
      <c r="AF121" s="3">
        <v>1</v>
      </c>
    </row>
    <row r="122" spans="1:32" ht="250" customHeight="1" x14ac:dyDescent="0.35">
      <c r="A122" s="2" t="s">
        <v>428</v>
      </c>
      <c r="B122" s="5">
        <v>183</v>
      </c>
      <c r="C122" s="2" t="s">
        <v>434</v>
      </c>
      <c r="D122" s="1" t="s">
        <v>38</v>
      </c>
      <c r="F122" s="2" t="s">
        <v>437</v>
      </c>
      <c r="G122" s="1" t="s">
        <v>1144</v>
      </c>
      <c r="H122" s="1" t="s">
        <v>1146</v>
      </c>
      <c r="I122" s="1" t="s">
        <v>435</v>
      </c>
      <c r="J122" s="2" t="s">
        <v>436</v>
      </c>
      <c r="K122" s="2" t="s">
        <v>432</v>
      </c>
      <c r="L122" s="3"/>
      <c r="M122" s="3"/>
      <c r="N122" s="3"/>
      <c r="O122" s="3">
        <v>1</v>
      </c>
      <c r="P122" s="3">
        <v>1</v>
      </c>
      <c r="Q122" s="3">
        <v>1</v>
      </c>
      <c r="R122" s="3">
        <v>1</v>
      </c>
      <c r="S122" s="3">
        <v>1</v>
      </c>
      <c r="T122" s="3">
        <v>1</v>
      </c>
      <c r="U122" s="3">
        <v>1</v>
      </c>
      <c r="V122" s="3">
        <v>1</v>
      </c>
      <c r="W122" s="3" t="s">
        <v>40</v>
      </c>
      <c r="X122" s="3" t="s">
        <v>40</v>
      </c>
      <c r="Y122" s="3"/>
      <c r="Z122" s="3"/>
      <c r="AA122" s="3" t="s">
        <v>35</v>
      </c>
      <c r="AB122" s="6" t="str">
        <f>HYPERLINK(_xlfn.CONCAT("https://www.google.com/maps/search/",Tabela1[[#This Row],[GPS]]),"##")</f>
        <v>##</v>
      </c>
      <c r="AC122" s="3" t="str">
        <f>_xlfn.CONCAT("https://raw.githubusercontent.com/marcelo-pascoal/Semaforos/refs/heads/main/fotosD/",Tabela1[[#This Row],[Foto1]])</f>
        <v>https://raw.githubusercontent.com/marcelo-pascoal/Semaforos/refs/heads/main/fotosD/DSCF7240.JPG</v>
      </c>
      <c r="AD122" s="3" t="str">
        <f>_xlfn.CONCAT("https://raw.githubusercontent.com/marcelo-pascoal/Semaforos/refs/heads/main/fotos/",Tabela1[[#This Row],[id_0]],".jpg")</f>
        <v>https://raw.githubusercontent.com/marcelo-pascoal/Semaforos/refs/heads/main/fotos/183.jpg</v>
      </c>
      <c r="AE122" s="3" t="str">
        <f>_xlfn.CONCAT("https://raw.githubusercontent.com/marcelo-pascoal/Semaforos/refs/heads/main/fotosD/",Tabela1[[#This Row],[id_0]],".jpg")</f>
        <v>https://raw.githubusercontent.com/marcelo-pascoal/Semaforos/refs/heads/main/fotosD/183.jpg</v>
      </c>
      <c r="AF122" s="3">
        <v>1</v>
      </c>
    </row>
    <row r="123" spans="1:32" ht="250" customHeight="1" x14ac:dyDescent="0.35">
      <c r="A123" s="2" t="s">
        <v>428</v>
      </c>
      <c r="B123" s="5">
        <v>184</v>
      </c>
      <c r="C123" s="2" t="s">
        <v>438</v>
      </c>
      <c r="D123" s="1" t="s">
        <v>60</v>
      </c>
      <c r="F123" s="2" t="s">
        <v>440</v>
      </c>
      <c r="G123" s="1" t="s">
        <v>1145</v>
      </c>
      <c r="H123" s="1" t="s">
        <v>1146</v>
      </c>
      <c r="I123" s="1" t="s">
        <v>439</v>
      </c>
      <c r="J123" s="2" t="s">
        <v>436</v>
      </c>
      <c r="K123" s="2" t="s">
        <v>432</v>
      </c>
      <c r="L123" s="3">
        <v>2</v>
      </c>
      <c r="M123" s="3"/>
      <c r="N123" s="3"/>
      <c r="O123" s="3">
        <v>1</v>
      </c>
      <c r="P123" s="3">
        <v>3</v>
      </c>
      <c r="Q123" s="3">
        <v>3</v>
      </c>
      <c r="R123" s="3">
        <v>1</v>
      </c>
      <c r="S123" s="3">
        <v>1</v>
      </c>
      <c r="T123" s="3">
        <v>1</v>
      </c>
      <c r="U123" s="3">
        <v>1</v>
      </c>
      <c r="V123" s="3">
        <v>1</v>
      </c>
      <c r="W123" s="3" t="s">
        <v>40</v>
      </c>
      <c r="X123" s="3" t="s">
        <v>40</v>
      </c>
      <c r="Y123" s="3" t="s">
        <v>40</v>
      </c>
      <c r="Z123" s="3"/>
      <c r="AA123" s="3" t="s">
        <v>35</v>
      </c>
      <c r="AB123" s="6" t="str">
        <f>HYPERLINK(_xlfn.CONCAT("https://www.google.com/maps/search/",Tabela1[[#This Row],[GPS]]),"##")</f>
        <v>##</v>
      </c>
      <c r="AC123" s="3" t="str">
        <f>_xlfn.CONCAT("https://raw.githubusercontent.com/marcelo-pascoal/Semaforos/refs/heads/main/fotosD/",Tabela1[[#This Row],[Foto1]])</f>
        <v>https://raw.githubusercontent.com/marcelo-pascoal/Semaforos/refs/heads/main/fotosD/DSCF7235.JPG</v>
      </c>
      <c r="AD123" s="3" t="str">
        <f>_xlfn.CONCAT("https://raw.githubusercontent.com/marcelo-pascoal/Semaforos/refs/heads/main/fotos/",Tabela1[[#This Row],[id_0]],".jpg")</f>
        <v>https://raw.githubusercontent.com/marcelo-pascoal/Semaforos/refs/heads/main/fotos/184.jpg</v>
      </c>
      <c r="AE123" s="3" t="str">
        <f>_xlfn.CONCAT("https://raw.githubusercontent.com/marcelo-pascoal/Semaforos/refs/heads/main/fotosD/",Tabela1[[#This Row],[id_0]],".jpg")</f>
        <v>https://raw.githubusercontent.com/marcelo-pascoal/Semaforos/refs/heads/main/fotosD/184.jpg</v>
      </c>
      <c r="AF123" s="3">
        <v>1</v>
      </c>
    </row>
    <row r="124" spans="1:32" ht="250" customHeight="1" x14ac:dyDescent="0.35">
      <c r="A124" s="2" t="s">
        <v>428</v>
      </c>
      <c r="B124" s="5">
        <v>185</v>
      </c>
      <c r="C124" s="2" t="s">
        <v>441</v>
      </c>
      <c r="D124" s="1" t="s">
        <v>31</v>
      </c>
      <c r="F124" s="2" t="s">
        <v>443</v>
      </c>
      <c r="G124" s="1" t="s">
        <v>1144</v>
      </c>
      <c r="H124" s="1" t="s">
        <v>31</v>
      </c>
      <c r="I124" s="1" t="s">
        <v>442</v>
      </c>
      <c r="J124" s="2" t="s">
        <v>436</v>
      </c>
      <c r="K124" s="2" t="s">
        <v>432</v>
      </c>
      <c r="L124" s="3"/>
      <c r="M124" s="3">
        <v>1</v>
      </c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 t="s">
        <v>35</v>
      </c>
      <c r="AB124" s="6" t="str">
        <f>HYPERLINK(_xlfn.CONCAT("https://www.google.com/maps/search/",Tabela1[[#This Row],[GPS]]),"##")</f>
        <v>##</v>
      </c>
      <c r="AC124" s="3" t="str">
        <f>_xlfn.CONCAT("https://raw.githubusercontent.com/marcelo-pascoal/Semaforos/refs/heads/main/fotosD/",Tabela1[[#This Row],[Foto1]])</f>
        <v>https://raw.githubusercontent.com/marcelo-pascoal/Semaforos/refs/heads/main/fotosD/DSCF7232.JPG</v>
      </c>
      <c r="AD124" s="3" t="str">
        <f>_xlfn.CONCAT("https://raw.githubusercontent.com/marcelo-pascoal/Semaforos/refs/heads/main/fotos/",Tabela1[[#This Row],[id_0]],".jpg")</f>
        <v>https://raw.githubusercontent.com/marcelo-pascoal/Semaforos/refs/heads/main/fotos/185.jpg</v>
      </c>
      <c r="AE124" s="3" t="str">
        <f>_xlfn.CONCAT("https://raw.githubusercontent.com/marcelo-pascoal/Semaforos/refs/heads/main/fotosD/",Tabela1[[#This Row],[id_0]],".jpg")</f>
        <v>https://raw.githubusercontent.com/marcelo-pascoal/Semaforos/refs/heads/main/fotosD/185.jpg</v>
      </c>
      <c r="AF124" s="3">
        <v>5</v>
      </c>
    </row>
    <row r="125" spans="1:32" ht="250" customHeight="1" x14ac:dyDescent="0.35">
      <c r="A125" s="2" t="s">
        <v>444</v>
      </c>
      <c r="B125" s="5">
        <v>175</v>
      </c>
      <c r="C125" s="2" t="s">
        <v>445</v>
      </c>
      <c r="D125" s="1" t="s">
        <v>38</v>
      </c>
      <c r="E125" s="2" t="s">
        <v>1147</v>
      </c>
      <c r="F125" s="2" t="s">
        <v>449</v>
      </c>
      <c r="G125" s="1" t="s">
        <v>1144</v>
      </c>
      <c r="H125" s="1" t="s">
        <v>1146</v>
      </c>
      <c r="I125" s="1" t="s">
        <v>446</v>
      </c>
      <c r="J125" s="2" t="s">
        <v>447</v>
      </c>
      <c r="K125" s="2" t="s">
        <v>448</v>
      </c>
      <c r="L125" s="3"/>
      <c r="M125" s="3"/>
      <c r="N125" s="3"/>
      <c r="O125" s="3">
        <v>1</v>
      </c>
      <c r="P125" s="3">
        <v>1</v>
      </c>
      <c r="Q125" s="3">
        <v>1</v>
      </c>
      <c r="R125" s="3"/>
      <c r="S125" s="3"/>
      <c r="T125" s="3"/>
      <c r="U125" s="3">
        <v>1</v>
      </c>
      <c r="V125" s="3">
        <v>1</v>
      </c>
      <c r="W125" s="3" t="s">
        <v>40</v>
      </c>
      <c r="X125" s="3" t="s">
        <v>40</v>
      </c>
      <c r="Y125" s="3"/>
      <c r="Z125" s="3"/>
      <c r="AA125" s="3" t="s">
        <v>35</v>
      </c>
      <c r="AB125" s="6" t="str">
        <f>HYPERLINK(_xlfn.CONCAT("https://www.google.com/maps/search/",Tabela1[[#This Row],[GPS]]),"##")</f>
        <v>##</v>
      </c>
      <c r="AC125" s="3" t="str">
        <f>_xlfn.CONCAT("https://raw.githubusercontent.com/marcelo-pascoal/Semaforos/refs/heads/main/fotosD/",Tabela1[[#This Row],[Foto1]])</f>
        <v>https://raw.githubusercontent.com/marcelo-pascoal/Semaforos/refs/heads/main/fotosD/DSCF7134.JPG</v>
      </c>
      <c r="AD125" s="3" t="str">
        <f>_xlfn.CONCAT("https://raw.githubusercontent.com/marcelo-pascoal/Semaforos/refs/heads/main/fotos/",Tabela1[[#This Row],[id_0]],".jpg")</f>
        <v>https://raw.githubusercontent.com/marcelo-pascoal/Semaforos/refs/heads/main/fotos/175.jpg</v>
      </c>
      <c r="AE125" s="3" t="str">
        <f>_xlfn.CONCAT("https://raw.githubusercontent.com/marcelo-pascoal/Semaforos/refs/heads/main/fotosD/",Tabela1[[#This Row],[id_0]],".jpg")</f>
        <v>https://raw.githubusercontent.com/marcelo-pascoal/Semaforos/refs/heads/main/fotosD/175.jpg</v>
      </c>
      <c r="AF125" s="3">
        <v>1</v>
      </c>
    </row>
    <row r="126" spans="1:32" ht="250" customHeight="1" x14ac:dyDescent="0.35">
      <c r="A126" s="2" t="s">
        <v>444</v>
      </c>
      <c r="B126" s="5">
        <v>176</v>
      </c>
      <c r="C126" s="2" t="s">
        <v>450</v>
      </c>
      <c r="D126" s="1" t="s">
        <v>60</v>
      </c>
      <c r="F126" s="2" t="s">
        <v>449</v>
      </c>
      <c r="G126" s="1" t="s">
        <v>1145</v>
      </c>
      <c r="H126" s="1" t="s">
        <v>1146</v>
      </c>
      <c r="I126" s="1" t="s">
        <v>451</v>
      </c>
      <c r="J126" s="2" t="s">
        <v>447</v>
      </c>
      <c r="K126" s="2" t="s">
        <v>448</v>
      </c>
      <c r="L126" s="3">
        <v>2</v>
      </c>
      <c r="M126" s="3"/>
      <c r="N126" s="3"/>
      <c r="O126" s="3">
        <v>1</v>
      </c>
      <c r="P126" s="3">
        <v>3</v>
      </c>
      <c r="Q126" s="3">
        <v>3</v>
      </c>
      <c r="R126" s="3"/>
      <c r="S126" s="3"/>
      <c r="T126" s="3"/>
      <c r="U126" s="3">
        <v>1</v>
      </c>
      <c r="V126" s="3">
        <v>1</v>
      </c>
      <c r="W126" s="3" t="s">
        <v>40</v>
      </c>
      <c r="X126" s="3" t="s">
        <v>40</v>
      </c>
      <c r="Y126" s="3"/>
      <c r="Z126" s="3"/>
      <c r="AA126" s="3" t="s">
        <v>35</v>
      </c>
      <c r="AB126" s="6" t="str">
        <f>HYPERLINK(_xlfn.CONCAT("https://www.google.com/maps/search/",Tabela1[[#This Row],[GPS]]),"##")</f>
        <v>##</v>
      </c>
      <c r="AC126" s="3" t="str">
        <f>_xlfn.CONCAT("https://raw.githubusercontent.com/marcelo-pascoal/Semaforos/refs/heads/main/fotosD/",Tabela1[[#This Row],[Foto1]])</f>
        <v>https://raw.githubusercontent.com/marcelo-pascoal/Semaforos/refs/heads/main/fotosD/DSCF7134.JPG</v>
      </c>
      <c r="AD126" s="3" t="str">
        <f>_xlfn.CONCAT("https://raw.githubusercontent.com/marcelo-pascoal/Semaforos/refs/heads/main/fotos/",Tabela1[[#This Row],[id_0]],".jpg")</f>
        <v>https://raw.githubusercontent.com/marcelo-pascoal/Semaforos/refs/heads/main/fotos/176.jpg</v>
      </c>
      <c r="AE126" s="3" t="str">
        <f>_xlfn.CONCAT("https://raw.githubusercontent.com/marcelo-pascoal/Semaforos/refs/heads/main/fotosD/",Tabela1[[#This Row],[id_0]],".jpg")</f>
        <v>https://raw.githubusercontent.com/marcelo-pascoal/Semaforos/refs/heads/main/fotosD/176.jpg</v>
      </c>
      <c r="AF126" s="3">
        <v>1</v>
      </c>
    </row>
    <row r="127" spans="1:32" ht="250" customHeight="1" x14ac:dyDescent="0.35">
      <c r="A127" s="2" t="s">
        <v>444</v>
      </c>
      <c r="B127" s="5">
        <v>177</v>
      </c>
      <c r="C127" s="2" t="s">
        <v>452</v>
      </c>
      <c r="D127" s="1" t="s">
        <v>31</v>
      </c>
      <c r="F127" s="2" t="s">
        <v>454</v>
      </c>
      <c r="G127" s="1" t="s">
        <v>1144</v>
      </c>
      <c r="H127" s="1" t="s">
        <v>31</v>
      </c>
      <c r="I127" s="1" t="s">
        <v>453</v>
      </c>
      <c r="J127" s="2" t="s">
        <v>447</v>
      </c>
      <c r="K127" s="2" t="s">
        <v>448</v>
      </c>
      <c r="L127" s="3"/>
      <c r="M127" s="3">
        <v>1</v>
      </c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 t="s">
        <v>35</v>
      </c>
      <c r="AB127" s="6" t="str">
        <f>HYPERLINK(_xlfn.CONCAT("https://www.google.com/maps/search/",Tabela1[[#This Row],[GPS]]),"##")</f>
        <v>##</v>
      </c>
      <c r="AC127" s="3" t="str">
        <f>_xlfn.CONCAT("https://raw.githubusercontent.com/marcelo-pascoal/Semaforos/refs/heads/main/fotosD/",Tabela1[[#This Row],[Foto1]])</f>
        <v>https://raw.githubusercontent.com/marcelo-pascoal/Semaforos/refs/heads/main/fotosD/DSCF7140.JPG</v>
      </c>
      <c r="AD127" s="3" t="str">
        <f>_xlfn.CONCAT("https://raw.githubusercontent.com/marcelo-pascoal/Semaforos/refs/heads/main/fotos/",Tabela1[[#This Row],[id_0]],".jpg")</f>
        <v>https://raw.githubusercontent.com/marcelo-pascoal/Semaforos/refs/heads/main/fotos/177.jpg</v>
      </c>
      <c r="AE127" s="3" t="str">
        <f>_xlfn.CONCAT("https://raw.githubusercontent.com/marcelo-pascoal/Semaforos/refs/heads/main/fotosD/",Tabela1[[#This Row],[id_0]],".jpg")</f>
        <v>https://raw.githubusercontent.com/marcelo-pascoal/Semaforos/refs/heads/main/fotosD/177.jpg</v>
      </c>
      <c r="AF127" s="3">
        <v>5</v>
      </c>
    </row>
    <row r="128" spans="1:32" ht="250" customHeight="1" x14ac:dyDescent="0.35">
      <c r="A128" s="2" t="s">
        <v>455</v>
      </c>
      <c r="B128" s="5">
        <v>178</v>
      </c>
      <c r="C128" s="2" t="s">
        <v>456</v>
      </c>
      <c r="D128" s="1" t="s">
        <v>31</v>
      </c>
      <c r="F128" s="2" t="s">
        <v>459</v>
      </c>
      <c r="G128" s="1" t="s">
        <v>1144</v>
      </c>
      <c r="H128" s="1" t="s">
        <v>31</v>
      </c>
      <c r="I128" s="1" t="s">
        <v>457</v>
      </c>
      <c r="J128" s="2" t="s">
        <v>458</v>
      </c>
      <c r="K128" s="2" t="s">
        <v>448</v>
      </c>
      <c r="L128" s="3"/>
      <c r="M128" s="3">
        <v>2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 t="s">
        <v>35</v>
      </c>
      <c r="AB128" s="6" t="str">
        <f>HYPERLINK(_xlfn.CONCAT("https://www.google.com/maps/search/",Tabela1[[#This Row],[GPS]]),"##")</f>
        <v>##</v>
      </c>
      <c r="AC128" s="3" t="str">
        <f>_xlfn.CONCAT("https://raw.githubusercontent.com/marcelo-pascoal/Semaforos/refs/heads/main/fotosD/",Tabela1[[#This Row],[Foto1]])</f>
        <v>https://raw.githubusercontent.com/marcelo-pascoal/Semaforos/refs/heads/main/fotosD/DSCF7161.JPG</v>
      </c>
      <c r="AD128" s="3" t="str">
        <f>_xlfn.CONCAT("https://raw.githubusercontent.com/marcelo-pascoal/Semaforos/refs/heads/main/fotos/",Tabela1[[#This Row],[id_0]],".jpg")</f>
        <v>https://raw.githubusercontent.com/marcelo-pascoal/Semaforos/refs/heads/main/fotos/178.jpg</v>
      </c>
      <c r="AE128" s="3" t="str">
        <f>_xlfn.CONCAT("https://raw.githubusercontent.com/marcelo-pascoal/Semaforos/refs/heads/main/fotosD/",Tabela1[[#This Row],[id_0]],".jpg")</f>
        <v>https://raw.githubusercontent.com/marcelo-pascoal/Semaforos/refs/heads/main/fotosD/178.jpg</v>
      </c>
      <c r="AF128" s="3">
        <v>1</v>
      </c>
    </row>
    <row r="129" spans="1:32" ht="250" customHeight="1" x14ac:dyDescent="0.35">
      <c r="A129" s="2" t="s">
        <v>455</v>
      </c>
      <c r="B129" s="5">
        <v>179</v>
      </c>
      <c r="C129" s="2" t="s">
        <v>460</v>
      </c>
      <c r="D129" s="1" t="s">
        <v>38</v>
      </c>
      <c r="E129" s="2" t="s">
        <v>1148</v>
      </c>
      <c r="F129" s="2" t="s">
        <v>462</v>
      </c>
      <c r="G129" s="1" t="s">
        <v>1144</v>
      </c>
      <c r="H129" s="1" t="s">
        <v>1146</v>
      </c>
      <c r="I129" s="1" t="s">
        <v>461</v>
      </c>
      <c r="J129" s="2" t="s">
        <v>458</v>
      </c>
      <c r="K129" s="2" t="s">
        <v>448</v>
      </c>
      <c r="L129" s="3"/>
      <c r="M129" s="3"/>
      <c r="N129" s="3"/>
      <c r="O129" s="3">
        <v>1</v>
      </c>
      <c r="P129" s="3">
        <v>1</v>
      </c>
      <c r="Q129" s="3">
        <v>1</v>
      </c>
      <c r="R129" s="3">
        <v>1</v>
      </c>
      <c r="S129" s="3">
        <v>1</v>
      </c>
      <c r="T129" s="3">
        <v>1</v>
      </c>
      <c r="U129" s="3">
        <v>1</v>
      </c>
      <c r="V129" s="3">
        <v>1</v>
      </c>
      <c r="W129" s="3" t="s">
        <v>40</v>
      </c>
      <c r="X129" s="3" t="s">
        <v>40</v>
      </c>
      <c r="Y129" s="3"/>
      <c r="Z129" s="3"/>
      <c r="AA129" s="3" t="s">
        <v>35</v>
      </c>
      <c r="AB129" s="6" t="str">
        <f>HYPERLINK(_xlfn.CONCAT("https://www.google.com/maps/search/",Tabela1[[#This Row],[GPS]]),"##")</f>
        <v>##</v>
      </c>
      <c r="AC129" s="3" t="str">
        <f>_xlfn.CONCAT("https://raw.githubusercontent.com/marcelo-pascoal/Semaforos/refs/heads/main/fotosD/",Tabela1[[#This Row],[Foto1]])</f>
        <v>https://raw.githubusercontent.com/marcelo-pascoal/Semaforos/refs/heads/main/fotosD/DSCF7165.JPG</v>
      </c>
      <c r="AD129" s="3" t="str">
        <f>_xlfn.CONCAT("https://raw.githubusercontent.com/marcelo-pascoal/Semaforos/refs/heads/main/fotos/",Tabela1[[#This Row],[id_0]],".jpg")</f>
        <v>https://raw.githubusercontent.com/marcelo-pascoal/Semaforos/refs/heads/main/fotos/179.jpg</v>
      </c>
      <c r="AE129" s="3" t="str">
        <f>_xlfn.CONCAT("https://raw.githubusercontent.com/marcelo-pascoal/Semaforos/refs/heads/main/fotosD/",Tabela1[[#This Row],[id_0]],".jpg")</f>
        <v>https://raw.githubusercontent.com/marcelo-pascoal/Semaforos/refs/heads/main/fotosD/179.jpg</v>
      </c>
      <c r="AF129" s="3">
        <v>1</v>
      </c>
    </row>
    <row r="130" spans="1:32" ht="250" customHeight="1" x14ac:dyDescent="0.35">
      <c r="A130" s="2" t="s">
        <v>455</v>
      </c>
      <c r="B130" s="5">
        <v>180</v>
      </c>
      <c r="C130" s="2" t="s">
        <v>463</v>
      </c>
      <c r="D130" s="1" t="s">
        <v>60</v>
      </c>
      <c r="E130" s="2" t="s">
        <v>1148</v>
      </c>
      <c r="F130" s="2" t="s">
        <v>465</v>
      </c>
      <c r="G130" s="1" t="s">
        <v>1145</v>
      </c>
      <c r="H130" s="1" t="s">
        <v>1146</v>
      </c>
      <c r="I130" s="1" t="s">
        <v>464</v>
      </c>
      <c r="J130" s="2" t="s">
        <v>458</v>
      </c>
      <c r="K130" s="2" t="s">
        <v>448</v>
      </c>
      <c r="L130" s="3">
        <v>2</v>
      </c>
      <c r="M130" s="3"/>
      <c r="N130" s="3"/>
      <c r="O130" s="3">
        <v>1</v>
      </c>
      <c r="P130" s="3">
        <v>3</v>
      </c>
      <c r="Q130" s="3">
        <v>3</v>
      </c>
      <c r="R130" s="3">
        <v>1</v>
      </c>
      <c r="S130" s="3">
        <v>1</v>
      </c>
      <c r="T130" s="3">
        <v>1</v>
      </c>
      <c r="U130" s="3">
        <v>1</v>
      </c>
      <c r="V130" s="3">
        <v>1</v>
      </c>
      <c r="W130" s="3" t="s">
        <v>40</v>
      </c>
      <c r="X130" s="3" t="s">
        <v>40</v>
      </c>
      <c r="Y130" s="3" t="s">
        <v>40</v>
      </c>
      <c r="Z130" s="3"/>
      <c r="AA130" s="3" t="s">
        <v>35</v>
      </c>
      <c r="AB130" s="6" t="str">
        <f>HYPERLINK(_xlfn.CONCAT("https://www.google.com/maps/search/",Tabela1[[#This Row],[GPS]]),"##")</f>
        <v>##</v>
      </c>
      <c r="AC130" s="3" t="str">
        <f>_xlfn.CONCAT("https://raw.githubusercontent.com/marcelo-pascoal/Semaforos/refs/heads/main/fotosD/",Tabela1[[#This Row],[Foto1]])</f>
        <v>https://raw.githubusercontent.com/marcelo-pascoal/Semaforos/refs/heads/main/fotosD/DSCF7164.JPG</v>
      </c>
      <c r="AD130" s="3" t="str">
        <f>_xlfn.CONCAT("https://raw.githubusercontent.com/marcelo-pascoal/Semaforos/refs/heads/main/fotos/",Tabela1[[#This Row],[id_0]],".jpg")</f>
        <v>https://raw.githubusercontent.com/marcelo-pascoal/Semaforos/refs/heads/main/fotos/180.jpg</v>
      </c>
      <c r="AE130" s="3" t="str">
        <f>_xlfn.CONCAT("https://raw.githubusercontent.com/marcelo-pascoal/Semaforos/refs/heads/main/fotosD/",Tabela1[[#This Row],[id_0]],".jpg")</f>
        <v>https://raw.githubusercontent.com/marcelo-pascoal/Semaforos/refs/heads/main/fotosD/180.jpg</v>
      </c>
      <c r="AF130" s="3">
        <v>1</v>
      </c>
    </row>
    <row r="131" spans="1:32" ht="250" customHeight="1" x14ac:dyDescent="0.35">
      <c r="A131" s="2" t="s">
        <v>455</v>
      </c>
      <c r="B131" s="5">
        <v>181</v>
      </c>
      <c r="C131" s="2" t="s">
        <v>466</v>
      </c>
      <c r="D131" s="1" t="s">
        <v>31</v>
      </c>
      <c r="E131" s="2" t="s">
        <v>1148</v>
      </c>
      <c r="F131" s="2" t="s">
        <v>468</v>
      </c>
      <c r="G131" s="1" t="s">
        <v>1144</v>
      </c>
      <c r="H131" s="1" t="s">
        <v>31</v>
      </c>
      <c r="I131" s="1" t="s">
        <v>467</v>
      </c>
      <c r="J131" s="2" t="s">
        <v>458</v>
      </c>
      <c r="K131" s="2" t="s">
        <v>448</v>
      </c>
      <c r="L131" s="3"/>
      <c r="M131" s="3">
        <v>2</v>
      </c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 t="s">
        <v>35</v>
      </c>
      <c r="AB131" s="6" t="str">
        <f>HYPERLINK(_xlfn.CONCAT("https://www.google.com/maps/search/",Tabela1[[#This Row],[GPS]]),"##")</f>
        <v>##</v>
      </c>
      <c r="AC131" s="3" t="str">
        <f>_xlfn.CONCAT("https://raw.githubusercontent.com/marcelo-pascoal/Semaforos/refs/heads/main/fotosD/",Tabela1[[#This Row],[Foto1]])</f>
        <v>https://raw.githubusercontent.com/marcelo-pascoal/Semaforos/refs/heads/main/fotosD/DSCF7177.JPG</v>
      </c>
      <c r="AD131" s="3" t="str">
        <f>_xlfn.CONCAT("https://raw.githubusercontent.com/marcelo-pascoal/Semaforos/refs/heads/main/fotos/",Tabela1[[#This Row],[id_0]],".jpg")</f>
        <v>https://raw.githubusercontent.com/marcelo-pascoal/Semaforos/refs/heads/main/fotos/181.jpg</v>
      </c>
      <c r="AE131" s="3" t="str">
        <f>_xlfn.CONCAT("https://raw.githubusercontent.com/marcelo-pascoal/Semaforos/refs/heads/main/fotosD/",Tabela1[[#This Row],[id_0]],".jpg")</f>
        <v>https://raw.githubusercontent.com/marcelo-pascoal/Semaforos/refs/heads/main/fotosD/181.jpg</v>
      </c>
      <c r="AF131" s="3">
        <v>1</v>
      </c>
    </row>
    <row r="132" spans="1:32" ht="250" customHeight="1" x14ac:dyDescent="0.35">
      <c r="A132" s="2" t="s">
        <v>469</v>
      </c>
      <c r="B132" s="5">
        <v>171</v>
      </c>
      <c r="C132" s="2" t="s">
        <v>470</v>
      </c>
      <c r="D132" s="1" t="s">
        <v>31</v>
      </c>
      <c r="E132" s="2" t="s">
        <v>1148</v>
      </c>
      <c r="F132" s="2" t="s">
        <v>473</v>
      </c>
      <c r="G132" s="1" t="s">
        <v>1144</v>
      </c>
      <c r="H132" s="1" t="s">
        <v>31</v>
      </c>
      <c r="I132" s="1" t="s">
        <v>471</v>
      </c>
      <c r="J132" s="2" t="s">
        <v>472</v>
      </c>
      <c r="K132" s="2" t="s">
        <v>448</v>
      </c>
      <c r="L132" s="3"/>
      <c r="M132" s="3">
        <v>2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 t="s">
        <v>35</v>
      </c>
      <c r="AB132" s="6" t="str">
        <f>HYPERLINK(_xlfn.CONCAT("https://www.google.com/maps/search/",Tabela1[[#This Row],[GPS]]),"##")</f>
        <v>##</v>
      </c>
      <c r="AC132" s="3" t="str">
        <f>_xlfn.CONCAT("https://raw.githubusercontent.com/marcelo-pascoal/Semaforos/refs/heads/main/fotosD/",Tabela1[[#This Row],[Foto1]])</f>
        <v>https://raw.githubusercontent.com/marcelo-pascoal/Semaforos/refs/heads/main/fotosD/DSCF7155.JPG</v>
      </c>
      <c r="AD132" s="3" t="str">
        <f>_xlfn.CONCAT("https://raw.githubusercontent.com/marcelo-pascoal/Semaforos/refs/heads/main/fotos/",Tabela1[[#This Row],[id_0]],".jpg")</f>
        <v>https://raw.githubusercontent.com/marcelo-pascoal/Semaforos/refs/heads/main/fotos/171.jpg</v>
      </c>
      <c r="AE132" s="3" t="str">
        <f>_xlfn.CONCAT("https://raw.githubusercontent.com/marcelo-pascoal/Semaforos/refs/heads/main/fotosD/",Tabela1[[#This Row],[id_0]],".jpg")</f>
        <v>https://raw.githubusercontent.com/marcelo-pascoal/Semaforos/refs/heads/main/fotosD/171.jpg</v>
      </c>
      <c r="AF132" s="3">
        <v>1</v>
      </c>
    </row>
    <row r="133" spans="1:32" ht="250" customHeight="1" x14ac:dyDescent="0.35">
      <c r="A133" s="2" t="s">
        <v>469</v>
      </c>
      <c r="B133" s="5">
        <v>172</v>
      </c>
      <c r="C133" s="2" t="s">
        <v>474</v>
      </c>
      <c r="D133" s="1" t="s">
        <v>60</v>
      </c>
      <c r="E133" s="2" t="s">
        <v>1148</v>
      </c>
      <c r="F133" s="2" t="s">
        <v>476</v>
      </c>
      <c r="G133" s="1" t="s">
        <v>1145</v>
      </c>
      <c r="H133" s="1" t="s">
        <v>1146</v>
      </c>
      <c r="I133" s="1" t="s">
        <v>475</v>
      </c>
      <c r="J133" s="2" t="s">
        <v>472</v>
      </c>
      <c r="K133" s="2" t="s">
        <v>448</v>
      </c>
      <c r="L133" s="3">
        <v>2</v>
      </c>
      <c r="M133" s="3"/>
      <c r="N133" s="3"/>
      <c r="O133" s="3">
        <v>1</v>
      </c>
      <c r="P133" s="3">
        <v>3</v>
      </c>
      <c r="Q133" s="3">
        <v>3</v>
      </c>
      <c r="R133" s="3">
        <v>1</v>
      </c>
      <c r="S133" s="3">
        <v>1</v>
      </c>
      <c r="T133" s="3">
        <v>1</v>
      </c>
      <c r="U133" s="3">
        <v>1</v>
      </c>
      <c r="V133" s="3">
        <v>1</v>
      </c>
      <c r="W133" s="3" t="s">
        <v>40</v>
      </c>
      <c r="X133" s="3" t="s">
        <v>40</v>
      </c>
      <c r="Y133" s="3" t="s">
        <v>40</v>
      </c>
      <c r="Z133" s="3"/>
      <c r="AA133" s="3" t="s">
        <v>35</v>
      </c>
      <c r="AB133" s="6" t="str">
        <f>HYPERLINK(_xlfn.CONCAT("https://www.google.com/maps/search/",Tabela1[[#This Row],[GPS]]),"##")</f>
        <v>##</v>
      </c>
      <c r="AC133" s="3" t="str">
        <f>_xlfn.CONCAT("https://raw.githubusercontent.com/marcelo-pascoal/Semaforos/refs/heads/main/fotosD/",Tabela1[[#This Row],[Foto1]])</f>
        <v>https://raw.githubusercontent.com/marcelo-pascoal/Semaforos/refs/heads/main/fotosD/DSCF7146.JPG</v>
      </c>
      <c r="AD133" s="3" t="str">
        <f>_xlfn.CONCAT("https://raw.githubusercontent.com/marcelo-pascoal/Semaforos/refs/heads/main/fotos/",Tabela1[[#This Row],[id_0]],".jpg")</f>
        <v>https://raw.githubusercontent.com/marcelo-pascoal/Semaforos/refs/heads/main/fotos/172.jpg</v>
      </c>
      <c r="AE133" s="3" t="str">
        <f>_xlfn.CONCAT("https://raw.githubusercontent.com/marcelo-pascoal/Semaforos/refs/heads/main/fotosD/",Tabela1[[#This Row],[id_0]],".jpg")</f>
        <v>https://raw.githubusercontent.com/marcelo-pascoal/Semaforos/refs/heads/main/fotosD/172.jpg</v>
      </c>
      <c r="AF133" s="3">
        <v>1</v>
      </c>
    </row>
    <row r="134" spans="1:32" ht="250" customHeight="1" x14ac:dyDescent="0.35">
      <c r="A134" s="2" t="s">
        <v>469</v>
      </c>
      <c r="B134" s="5">
        <v>173</v>
      </c>
      <c r="C134" s="2" t="s">
        <v>477</v>
      </c>
      <c r="D134" s="1" t="s">
        <v>38</v>
      </c>
      <c r="E134" s="2" t="s">
        <v>1148</v>
      </c>
      <c r="F134" s="2" t="s">
        <v>479</v>
      </c>
      <c r="G134" s="1" t="s">
        <v>1144</v>
      </c>
      <c r="H134" s="1" t="s">
        <v>1146</v>
      </c>
      <c r="I134" s="1" t="s">
        <v>478</v>
      </c>
      <c r="J134" s="2" t="s">
        <v>472</v>
      </c>
      <c r="K134" s="2" t="s">
        <v>448</v>
      </c>
      <c r="L134" s="3"/>
      <c r="M134" s="3"/>
      <c r="N134" s="3"/>
      <c r="O134" s="3">
        <v>1</v>
      </c>
      <c r="P134" s="3">
        <v>1</v>
      </c>
      <c r="Q134" s="3">
        <v>1</v>
      </c>
      <c r="R134" s="3">
        <v>1</v>
      </c>
      <c r="S134" s="3">
        <v>1</v>
      </c>
      <c r="T134" s="3">
        <v>1</v>
      </c>
      <c r="U134" s="3">
        <v>1</v>
      </c>
      <c r="V134" s="3">
        <v>1</v>
      </c>
      <c r="W134" s="3" t="s">
        <v>40</v>
      </c>
      <c r="X134" s="3" t="s">
        <v>40</v>
      </c>
      <c r="Y134" s="3"/>
      <c r="Z134" s="3"/>
      <c r="AA134" s="3" t="s">
        <v>35</v>
      </c>
      <c r="AB134" s="6" t="str">
        <f>HYPERLINK(_xlfn.CONCAT("https://www.google.com/maps/search/",Tabela1[[#This Row],[GPS]]),"##")</f>
        <v>##</v>
      </c>
      <c r="AC134" s="3" t="str">
        <f>_xlfn.CONCAT("https://raw.githubusercontent.com/marcelo-pascoal/Semaforos/refs/heads/main/fotosD/",Tabela1[[#This Row],[Foto1]])</f>
        <v>https://raw.githubusercontent.com/marcelo-pascoal/Semaforos/refs/heads/main/fotosD/DSCF7147.JPG</v>
      </c>
      <c r="AD134" s="3" t="str">
        <f>_xlfn.CONCAT("https://raw.githubusercontent.com/marcelo-pascoal/Semaforos/refs/heads/main/fotos/",Tabela1[[#This Row],[id_0]],".jpg")</f>
        <v>https://raw.githubusercontent.com/marcelo-pascoal/Semaforos/refs/heads/main/fotos/173.jpg</v>
      </c>
      <c r="AE134" s="3" t="str">
        <f>_xlfn.CONCAT("https://raw.githubusercontent.com/marcelo-pascoal/Semaforos/refs/heads/main/fotosD/",Tabela1[[#This Row],[id_0]],".jpg")</f>
        <v>https://raw.githubusercontent.com/marcelo-pascoal/Semaforos/refs/heads/main/fotosD/173.jpg</v>
      </c>
      <c r="AF134" s="3">
        <v>5</v>
      </c>
    </row>
    <row r="135" spans="1:32" ht="250" customHeight="1" x14ac:dyDescent="0.35">
      <c r="A135" s="2" t="s">
        <v>469</v>
      </c>
      <c r="B135" s="5">
        <v>174</v>
      </c>
      <c r="C135" s="2" t="s">
        <v>480</v>
      </c>
      <c r="D135" s="1" t="s">
        <v>31</v>
      </c>
      <c r="E135" s="2" t="s">
        <v>1148</v>
      </c>
      <c r="F135" s="2" t="s">
        <v>482</v>
      </c>
      <c r="G135" s="1" t="s">
        <v>1144</v>
      </c>
      <c r="H135" s="1" t="s">
        <v>31</v>
      </c>
      <c r="I135" s="1" t="s">
        <v>481</v>
      </c>
      <c r="J135" s="2" t="s">
        <v>472</v>
      </c>
      <c r="K135" s="2" t="s">
        <v>448</v>
      </c>
      <c r="L135" s="3"/>
      <c r="M135" s="3">
        <v>2</v>
      </c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 t="s">
        <v>35</v>
      </c>
      <c r="AB135" s="6" t="str">
        <f>HYPERLINK(_xlfn.CONCAT("https://www.google.com/maps/search/",Tabela1[[#This Row],[GPS]]),"##")</f>
        <v>##</v>
      </c>
      <c r="AC135" s="3" t="str">
        <f>_xlfn.CONCAT("https://raw.githubusercontent.com/marcelo-pascoal/Semaforos/refs/heads/main/fotosD/",Tabela1[[#This Row],[Foto1]])</f>
        <v>https://raw.githubusercontent.com/marcelo-pascoal/Semaforos/refs/heads/main/fotosD/DSCF7142.JPG</v>
      </c>
      <c r="AD135" s="3" t="str">
        <f>_xlfn.CONCAT("https://raw.githubusercontent.com/marcelo-pascoal/Semaforos/refs/heads/main/fotos/",Tabela1[[#This Row],[id_0]],".jpg")</f>
        <v>https://raw.githubusercontent.com/marcelo-pascoal/Semaforos/refs/heads/main/fotos/174.jpg</v>
      </c>
      <c r="AE135" s="3" t="str">
        <f>_xlfn.CONCAT("https://raw.githubusercontent.com/marcelo-pascoal/Semaforos/refs/heads/main/fotosD/",Tabela1[[#This Row],[id_0]],".jpg")</f>
        <v>https://raw.githubusercontent.com/marcelo-pascoal/Semaforos/refs/heads/main/fotosD/174.jpg</v>
      </c>
      <c r="AF135" s="3">
        <v>5</v>
      </c>
    </row>
    <row r="136" spans="1:32" ht="250" customHeight="1" x14ac:dyDescent="0.35">
      <c r="A136" s="2" t="s">
        <v>483</v>
      </c>
      <c r="B136" s="5">
        <v>167</v>
      </c>
      <c r="C136" s="2" t="s">
        <v>484</v>
      </c>
      <c r="D136" s="1" t="s">
        <v>31</v>
      </c>
      <c r="F136" s="2" t="s">
        <v>486</v>
      </c>
      <c r="G136" s="1" t="s">
        <v>1144</v>
      </c>
      <c r="H136" s="1" t="s">
        <v>31</v>
      </c>
      <c r="I136" s="1" t="s">
        <v>485</v>
      </c>
      <c r="J136" s="2" t="s">
        <v>458</v>
      </c>
      <c r="K136" s="2" t="s">
        <v>323</v>
      </c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 t="s">
        <v>233</v>
      </c>
      <c r="AB136" s="6" t="str">
        <f>HYPERLINK(_xlfn.CONCAT("https://www.google.com/maps/search/",Tabela1[[#This Row],[GPS]]),"##")</f>
        <v>##</v>
      </c>
      <c r="AC136" s="3" t="str">
        <f>_xlfn.CONCAT("https://raw.githubusercontent.com/marcelo-pascoal/Semaforos/refs/heads/main/fotosD/",Tabela1[[#This Row],[Foto1]])</f>
        <v>https://raw.githubusercontent.com/marcelo-pascoal/Semaforos/refs/heads/main/fotosD/DSCF8047.JPG</v>
      </c>
      <c r="AD136" s="3" t="str">
        <f>_xlfn.CONCAT("https://raw.githubusercontent.com/marcelo-pascoal/Semaforos/refs/heads/main/fotos/",Tabela1[[#This Row],[id_0]],".jpg")</f>
        <v>https://raw.githubusercontent.com/marcelo-pascoal/Semaforos/refs/heads/main/fotos/167.jpg</v>
      </c>
      <c r="AE136" s="3" t="str">
        <f>_xlfn.CONCAT("https://raw.githubusercontent.com/marcelo-pascoal/Semaforos/refs/heads/main/fotosD/",Tabela1[[#This Row],[id_0]],".jpg")</f>
        <v>https://raw.githubusercontent.com/marcelo-pascoal/Semaforos/refs/heads/main/fotosD/167.jpg</v>
      </c>
      <c r="AF136" s="3">
        <v>4</v>
      </c>
    </row>
    <row r="137" spans="1:32" ht="250" customHeight="1" x14ac:dyDescent="0.35">
      <c r="A137" s="2" t="s">
        <v>483</v>
      </c>
      <c r="B137" s="5">
        <v>168</v>
      </c>
      <c r="C137" s="2" t="s">
        <v>487</v>
      </c>
      <c r="D137" s="1" t="s">
        <v>60</v>
      </c>
      <c r="F137" s="2" t="s">
        <v>489</v>
      </c>
      <c r="G137" s="1" t="s">
        <v>1145</v>
      </c>
      <c r="H137" s="1" t="s">
        <v>1146</v>
      </c>
      <c r="I137" s="1" t="s">
        <v>488</v>
      </c>
      <c r="J137" s="2" t="s">
        <v>458</v>
      </c>
      <c r="K137" s="2" t="s">
        <v>323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 t="s">
        <v>40</v>
      </c>
      <c r="Z137" s="3"/>
      <c r="AA137" s="3" t="s">
        <v>233</v>
      </c>
      <c r="AB137" s="6" t="str">
        <f>HYPERLINK(_xlfn.CONCAT("https://www.google.com/maps/search/",Tabela1[[#This Row],[GPS]]),"##")</f>
        <v>##</v>
      </c>
      <c r="AC137" s="3" t="str">
        <f>_xlfn.CONCAT("https://raw.githubusercontent.com/marcelo-pascoal/Semaforos/refs/heads/main/fotosD/",Tabela1[[#This Row],[Foto1]])</f>
        <v>https://raw.githubusercontent.com/marcelo-pascoal/Semaforos/refs/heads/main/fotosD/DSCF8048.JPG</v>
      </c>
      <c r="AD137" s="3" t="str">
        <f>_xlfn.CONCAT("https://raw.githubusercontent.com/marcelo-pascoal/Semaforos/refs/heads/main/fotos/",Tabela1[[#This Row],[id_0]],".jpg")</f>
        <v>https://raw.githubusercontent.com/marcelo-pascoal/Semaforos/refs/heads/main/fotos/168.jpg</v>
      </c>
      <c r="AE137" s="3" t="str">
        <f>_xlfn.CONCAT("https://raw.githubusercontent.com/marcelo-pascoal/Semaforos/refs/heads/main/fotosD/",Tabela1[[#This Row],[id_0]],".jpg")</f>
        <v>https://raw.githubusercontent.com/marcelo-pascoal/Semaforos/refs/heads/main/fotosD/168.jpg</v>
      </c>
      <c r="AF137" s="3">
        <v>4</v>
      </c>
    </row>
    <row r="138" spans="1:32" ht="250" customHeight="1" x14ac:dyDescent="0.35">
      <c r="A138" s="2" t="s">
        <v>483</v>
      </c>
      <c r="B138" s="5">
        <v>169</v>
      </c>
      <c r="C138" s="2" t="s">
        <v>490</v>
      </c>
      <c r="D138" s="1" t="s">
        <v>60</v>
      </c>
      <c r="F138" s="2" t="s">
        <v>492</v>
      </c>
      <c r="G138" s="1" t="s">
        <v>1145</v>
      </c>
      <c r="H138" s="1" t="s">
        <v>1146</v>
      </c>
      <c r="I138" s="1" t="s">
        <v>491</v>
      </c>
      <c r="J138" s="2" t="s">
        <v>458</v>
      </c>
      <c r="K138" s="2" t="s">
        <v>323</v>
      </c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 t="s">
        <v>40</v>
      </c>
      <c r="Z138" s="3"/>
      <c r="AA138" s="3" t="s">
        <v>233</v>
      </c>
      <c r="AB138" s="6" t="str">
        <f>HYPERLINK(_xlfn.CONCAT("https://www.google.com/maps/search/",Tabela1[[#This Row],[GPS]]),"##")</f>
        <v>##</v>
      </c>
      <c r="AC138" s="3" t="str">
        <f>_xlfn.CONCAT("https://raw.githubusercontent.com/marcelo-pascoal/Semaforos/refs/heads/main/fotosD/",Tabela1[[#This Row],[Foto1]])</f>
        <v>https://raw.githubusercontent.com/marcelo-pascoal/Semaforos/refs/heads/main/fotosD/DSCF8043.JPG</v>
      </c>
      <c r="AD138" s="3" t="str">
        <f>_xlfn.CONCAT("https://raw.githubusercontent.com/marcelo-pascoal/Semaforos/refs/heads/main/fotos/",Tabela1[[#This Row],[id_0]],".jpg")</f>
        <v>https://raw.githubusercontent.com/marcelo-pascoal/Semaforos/refs/heads/main/fotos/169.jpg</v>
      </c>
      <c r="AE138" s="3" t="str">
        <f>_xlfn.CONCAT("https://raw.githubusercontent.com/marcelo-pascoal/Semaforos/refs/heads/main/fotosD/",Tabela1[[#This Row],[id_0]],".jpg")</f>
        <v>https://raw.githubusercontent.com/marcelo-pascoal/Semaforos/refs/heads/main/fotosD/169.jpg</v>
      </c>
      <c r="AF138" s="3">
        <v>4</v>
      </c>
    </row>
    <row r="139" spans="1:32" ht="250" customHeight="1" x14ac:dyDescent="0.35">
      <c r="A139" s="2" t="s">
        <v>483</v>
      </c>
      <c r="B139" s="5">
        <v>170</v>
      </c>
      <c r="C139" s="2" t="s">
        <v>493</v>
      </c>
      <c r="D139" s="1" t="s">
        <v>31</v>
      </c>
      <c r="F139" s="2" t="s">
        <v>495</v>
      </c>
      <c r="G139" s="1" t="s">
        <v>1144</v>
      </c>
      <c r="H139" s="1" t="s">
        <v>31</v>
      </c>
      <c r="I139" s="1" t="s">
        <v>494</v>
      </c>
      <c r="J139" s="2" t="s">
        <v>458</v>
      </c>
      <c r="K139" s="2" t="s">
        <v>323</v>
      </c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 t="s">
        <v>233</v>
      </c>
      <c r="AB139" s="6" t="str">
        <f>HYPERLINK(_xlfn.CONCAT("https://www.google.com/maps/search/",Tabela1[[#This Row],[GPS]]),"##")</f>
        <v>##</v>
      </c>
      <c r="AC139" s="3" t="str">
        <f>_xlfn.CONCAT("https://raw.githubusercontent.com/marcelo-pascoal/Semaforos/refs/heads/main/fotosD/",Tabela1[[#This Row],[Foto1]])</f>
        <v>https://raw.githubusercontent.com/marcelo-pascoal/Semaforos/refs/heads/main/fotosD/DSCF8042.JPG</v>
      </c>
      <c r="AD139" s="3" t="str">
        <f>_xlfn.CONCAT("https://raw.githubusercontent.com/marcelo-pascoal/Semaforos/refs/heads/main/fotos/",Tabela1[[#This Row],[id_0]],".jpg")</f>
        <v>https://raw.githubusercontent.com/marcelo-pascoal/Semaforos/refs/heads/main/fotos/170.jpg</v>
      </c>
      <c r="AE139" s="3" t="str">
        <f>_xlfn.CONCAT("https://raw.githubusercontent.com/marcelo-pascoal/Semaforos/refs/heads/main/fotosD/",Tabela1[[#This Row],[id_0]],".jpg")</f>
        <v>https://raw.githubusercontent.com/marcelo-pascoal/Semaforos/refs/heads/main/fotosD/170.jpg</v>
      </c>
      <c r="AF139" s="3">
        <v>4</v>
      </c>
    </row>
    <row r="140" spans="1:32" ht="250" customHeight="1" x14ac:dyDescent="0.35">
      <c r="A140" s="2" t="s">
        <v>496</v>
      </c>
      <c r="B140" s="5">
        <v>241</v>
      </c>
      <c r="C140" s="2" t="s">
        <v>497</v>
      </c>
      <c r="D140" s="1" t="s">
        <v>60</v>
      </c>
      <c r="E140" s="2" t="s">
        <v>1147</v>
      </c>
      <c r="F140" s="2" t="s">
        <v>501</v>
      </c>
      <c r="G140" s="1" t="s">
        <v>1145</v>
      </c>
      <c r="H140" s="1" t="s">
        <v>1146</v>
      </c>
      <c r="I140" s="1" t="s">
        <v>498</v>
      </c>
      <c r="J140" s="2" t="s">
        <v>499</v>
      </c>
      <c r="K140" s="2" t="s">
        <v>500</v>
      </c>
      <c r="L140" s="3">
        <v>1</v>
      </c>
      <c r="M140" s="3"/>
      <c r="N140" s="3"/>
      <c r="O140" s="3">
        <v>1</v>
      </c>
      <c r="P140" s="3">
        <v>2</v>
      </c>
      <c r="Q140" s="3">
        <v>2</v>
      </c>
      <c r="R140" s="3"/>
      <c r="S140" s="3"/>
      <c r="T140" s="3"/>
      <c r="U140" s="3">
        <v>1</v>
      </c>
      <c r="V140" s="3">
        <v>1</v>
      </c>
      <c r="W140" s="3" t="s">
        <v>40</v>
      </c>
      <c r="X140" s="3" t="s">
        <v>40</v>
      </c>
      <c r="Y140" s="3" t="s">
        <v>40</v>
      </c>
      <c r="Z140" s="3"/>
      <c r="AA140" s="3" t="s">
        <v>35</v>
      </c>
      <c r="AB140" s="6" t="str">
        <f>HYPERLINK(_xlfn.CONCAT("https://www.google.com/maps/search/",Tabela1[[#This Row],[GPS]]),"##")</f>
        <v>##</v>
      </c>
      <c r="AC140" s="3" t="str">
        <f>_xlfn.CONCAT("https://raw.githubusercontent.com/marcelo-pascoal/Semaforos/refs/heads/main/fotosD/",Tabela1[[#This Row],[Foto1]])</f>
        <v>https://raw.githubusercontent.com/marcelo-pascoal/Semaforos/refs/heads/main/fotosD/DSCF7255.JPG</v>
      </c>
      <c r="AD140" s="3" t="str">
        <f>_xlfn.CONCAT("https://raw.githubusercontent.com/marcelo-pascoal/Semaforos/refs/heads/main/fotos/",Tabela1[[#This Row],[id_0]],".jpg")</f>
        <v>https://raw.githubusercontent.com/marcelo-pascoal/Semaforos/refs/heads/main/fotos/241.jpg</v>
      </c>
      <c r="AE140" s="3" t="str">
        <f>_xlfn.CONCAT("https://raw.githubusercontent.com/marcelo-pascoal/Semaforos/refs/heads/main/fotosD/",Tabela1[[#This Row],[id_0]],".jpg")</f>
        <v>https://raw.githubusercontent.com/marcelo-pascoal/Semaforos/refs/heads/main/fotosD/241.jpg</v>
      </c>
      <c r="AF140" s="3">
        <v>1</v>
      </c>
    </row>
    <row r="141" spans="1:32" ht="250" customHeight="1" x14ac:dyDescent="0.35">
      <c r="A141" s="2" t="s">
        <v>496</v>
      </c>
      <c r="B141" s="5">
        <v>242</v>
      </c>
      <c r="C141" s="2" t="s">
        <v>502</v>
      </c>
      <c r="D141" s="1" t="s">
        <v>60</v>
      </c>
      <c r="E141" s="2" t="s">
        <v>1147</v>
      </c>
      <c r="F141" s="2" t="s">
        <v>501</v>
      </c>
      <c r="G141" s="1" t="s">
        <v>1145</v>
      </c>
      <c r="H141" s="1" t="s">
        <v>1146</v>
      </c>
      <c r="I141" s="1" t="s">
        <v>503</v>
      </c>
      <c r="J141" s="2" t="s">
        <v>499</v>
      </c>
      <c r="K141" s="2" t="s">
        <v>500</v>
      </c>
      <c r="L141" s="3">
        <v>1</v>
      </c>
      <c r="M141" s="3"/>
      <c r="N141" s="3"/>
      <c r="O141" s="3">
        <v>1</v>
      </c>
      <c r="P141" s="3">
        <v>2</v>
      </c>
      <c r="Q141" s="3">
        <v>2</v>
      </c>
      <c r="R141" s="3"/>
      <c r="S141" s="3"/>
      <c r="T141" s="3"/>
      <c r="U141" s="3">
        <v>1</v>
      </c>
      <c r="V141" s="3">
        <v>1</v>
      </c>
      <c r="W141" s="3" t="s">
        <v>40</v>
      </c>
      <c r="X141" s="3" t="s">
        <v>40</v>
      </c>
      <c r="Y141" s="3" t="s">
        <v>40</v>
      </c>
      <c r="Z141" s="3"/>
      <c r="AA141" s="3" t="s">
        <v>35</v>
      </c>
      <c r="AB141" s="6" t="str">
        <f>HYPERLINK(_xlfn.CONCAT("https://www.google.com/maps/search/",Tabela1[[#This Row],[GPS]]),"##")</f>
        <v>##</v>
      </c>
      <c r="AC141" s="3" t="str">
        <f>_xlfn.CONCAT("https://raw.githubusercontent.com/marcelo-pascoal/Semaforos/refs/heads/main/fotosD/",Tabela1[[#This Row],[Foto1]])</f>
        <v>https://raw.githubusercontent.com/marcelo-pascoal/Semaforos/refs/heads/main/fotosD/DSCF7255.JPG</v>
      </c>
      <c r="AD141" s="3" t="str">
        <f>_xlfn.CONCAT("https://raw.githubusercontent.com/marcelo-pascoal/Semaforos/refs/heads/main/fotos/",Tabela1[[#This Row],[id_0]],".jpg")</f>
        <v>https://raw.githubusercontent.com/marcelo-pascoal/Semaforos/refs/heads/main/fotos/242.jpg</v>
      </c>
      <c r="AE141" s="3" t="str">
        <f>_xlfn.CONCAT("https://raw.githubusercontent.com/marcelo-pascoal/Semaforos/refs/heads/main/fotosD/",Tabela1[[#This Row],[id_0]],".jpg")</f>
        <v>https://raw.githubusercontent.com/marcelo-pascoal/Semaforos/refs/heads/main/fotosD/242.jpg</v>
      </c>
      <c r="AF141" s="3">
        <v>1</v>
      </c>
    </row>
    <row r="142" spans="1:32" ht="250" customHeight="1" x14ac:dyDescent="0.35">
      <c r="A142" s="2" t="s">
        <v>504</v>
      </c>
      <c r="B142" s="5">
        <v>239</v>
      </c>
      <c r="C142" s="2" t="s">
        <v>505</v>
      </c>
      <c r="D142" s="1" t="s">
        <v>60</v>
      </c>
      <c r="E142" s="2" t="s">
        <v>1148</v>
      </c>
      <c r="F142" s="2" t="s">
        <v>508</v>
      </c>
      <c r="G142" s="1" t="s">
        <v>1145</v>
      </c>
      <c r="H142" s="1" t="s">
        <v>1146</v>
      </c>
      <c r="I142" s="1" t="s">
        <v>506</v>
      </c>
      <c r="J142" s="2" t="s">
        <v>507</v>
      </c>
      <c r="K142" s="2" t="s">
        <v>500</v>
      </c>
      <c r="L142" s="3">
        <v>2</v>
      </c>
      <c r="M142" s="3"/>
      <c r="N142" s="3"/>
      <c r="O142" s="3">
        <v>1</v>
      </c>
      <c r="P142" s="3">
        <v>3</v>
      </c>
      <c r="Q142" s="3">
        <v>3</v>
      </c>
      <c r="R142" s="3"/>
      <c r="S142" s="3"/>
      <c r="T142" s="3"/>
      <c r="U142" s="3">
        <v>1</v>
      </c>
      <c r="V142" s="3">
        <v>1</v>
      </c>
      <c r="W142" s="3" t="s">
        <v>40</v>
      </c>
      <c r="X142" s="3" t="s">
        <v>40</v>
      </c>
      <c r="Y142" s="3" t="s">
        <v>40</v>
      </c>
      <c r="Z142" s="3"/>
      <c r="AA142" s="3" t="s">
        <v>35</v>
      </c>
      <c r="AB142" s="6" t="str">
        <f>HYPERLINK(_xlfn.CONCAT("https://www.google.com/maps/search/",Tabela1[[#This Row],[GPS]]),"##")</f>
        <v>##</v>
      </c>
      <c r="AC142" s="3" t="str">
        <f>_xlfn.CONCAT("https://raw.githubusercontent.com/marcelo-pascoal/Semaforos/refs/heads/main/fotosD/",Tabela1[[#This Row],[Foto1]])</f>
        <v>https://raw.githubusercontent.com/marcelo-pascoal/Semaforos/refs/heads/main/fotosD/DSCF7264_1.JPG</v>
      </c>
      <c r="AD142" s="3" t="str">
        <f>_xlfn.CONCAT("https://raw.githubusercontent.com/marcelo-pascoal/Semaforos/refs/heads/main/fotos/",Tabela1[[#This Row],[id_0]],".jpg")</f>
        <v>https://raw.githubusercontent.com/marcelo-pascoal/Semaforos/refs/heads/main/fotos/239.jpg</v>
      </c>
      <c r="AE142" s="3" t="str">
        <f>_xlfn.CONCAT("https://raw.githubusercontent.com/marcelo-pascoal/Semaforos/refs/heads/main/fotosD/",Tabela1[[#This Row],[id_0]],".jpg")</f>
        <v>https://raw.githubusercontent.com/marcelo-pascoal/Semaforos/refs/heads/main/fotosD/239.jpg</v>
      </c>
      <c r="AF142" s="3">
        <v>1</v>
      </c>
    </row>
    <row r="143" spans="1:32" ht="250" customHeight="1" x14ac:dyDescent="0.35">
      <c r="A143" s="2" t="s">
        <v>504</v>
      </c>
      <c r="B143" s="5">
        <v>240</v>
      </c>
      <c r="C143" s="2" t="s">
        <v>509</v>
      </c>
      <c r="D143" s="1" t="s">
        <v>38</v>
      </c>
      <c r="E143" s="2" t="s">
        <v>1148</v>
      </c>
      <c r="F143" s="2" t="s">
        <v>511</v>
      </c>
      <c r="G143" s="1" t="s">
        <v>1144</v>
      </c>
      <c r="H143" s="1" t="s">
        <v>1146</v>
      </c>
      <c r="I143" s="1" t="s">
        <v>510</v>
      </c>
      <c r="J143" s="2" t="s">
        <v>507</v>
      </c>
      <c r="K143" s="2" t="s">
        <v>500</v>
      </c>
      <c r="L143" s="3"/>
      <c r="M143" s="3"/>
      <c r="N143" s="3"/>
      <c r="O143" s="3">
        <v>1</v>
      </c>
      <c r="P143" s="3">
        <v>1</v>
      </c>
      <c r="Q143" s="3">
        <v>1</v>
      </c>
      <c r="R143" s="3"/>
      <c r="S143" s="3"/>
      <c r="T143" s="3"/>
      <c r="U143" s="3">
        <v>1</v>
      </c>
      <c r="V143" s="3">
        <v>1</v>
      </c>
      <c r="W143" s="3" t="s">
        <v>40</v>
      </c>
      <c r="X143" s="3" t="s">
        <v>40</v>
      </c>
      <c r="Y143" s="3"/>
      <c r="Z143" s="3"/>
      <c r="AA143" s="3" t="s">
        <v>35</v>
      </c>
      <c r="AB143" s="6" t="str">
        <f>HYPERLINK(_xlfn.CONCAT("https://www.google.com/maps/search/",Tabela1[[#This Row],[GPS]]),"##")</f>
        <v>##</v>
      </c>
      <c r="AC143" s="3" t="str">
        <f>_xlfn.CONCAT("https://raw.githubusercontent.com/marcelo-pascoal/Semaforos/refs/heads/main/fotosD/",Tabela1[[#This Row],[Foto1]])</f>
        <v>https://raw.githubusercontent.com/marcelo-pascoal/Semaforos/refs/heads/main/fotosD/DSCF7265.JPG</v>
      </c>
      <c r="AD143" s="3" t="str">
        <f>_xlfn.CONCAT("https://raw.githubusercontent.com/marcelo-pascoal/Semaforos/refs/heads/main/fotos/",Tabela1[[#This Row],[id_0]],".jpg")</f>
        <v>https://raw.githubusercontent.com/marcelo-pascoal/Semaforos/refs/heads/main/fotos/240.jpg</v>
      </c>
      <c r="AE143" s="3" t="str">
        <f>_xlfn.CONCAT("https://raw.githubusercontent.com/marcelo-pascoal/Semaforos/refs/heads/main/fotosD/",Tabela1[[#This Row],[id_0]],".jpg")</f>
        <v>https://raw.githubusercontent.com/marcelo-pascoal/Semaforos/refs/heads/main/fotosD/240.jpg</v>
      </c>
      <c r="AF143" s="3">
        <v>1</v>
      </c>
    </row>
    <row r="144" spans="1:32" ht="250" customHeight="1" x14ac:dyDescent="0.35">
      <c r="A144" s="2" t="s">
        <v>512</v>
      </c>
      <c r="B144" s="5">
        <v>235</v>
      </c>
      <c r="C144" s="2" t="s">
        <v>513</v>
      </c>
      <c r="D144" s="1" t="s">
        <v>31</v>
      </c>
      <c r="F144" s="2" t="s">
        <v>515</v>
      </c>
      <c r="G144" s="1" t="s">
        <v>1144</v>
      </c>
      <c r="H144" s="1" t="s">
        <v>31</v>
      </c>
      <c r="I144" s="1" t="s">
        <v>514</v>
      </c>
      <c r="J144" s="2" t="s">
        <v>507</v>
      </c>
      <c r="K144" s="2" t="s">
        <v>500</v>
      </c>
      <c r="L144" s="3"/>
      <c r="M144" s="3">
        <v>1</v>
      </c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 t="s">
        <v>35</v>
      </c>
      <c r="AB144" s="6" t="str">
        <f>HYPERLINK(_xlfn.CONCAT("https://www.google.com/maps/search/",Tabela1[[#This Row],[GPS]]),"##")</f>
        <v>##</v>
      </c>
      <c r="AC144" s="3" t="str">
        <f>_xlfn.CONCAT("https://raw.githubusercontent.com/marcelo-pascoal/Semaforos/refs/heads/main/fotosD/",Tabela1[[#This Row],[Foto1]])</f>
        <v>https://raw.githubusercontent.com/marcelo-pascoal/Semaforos/refs/heads/main/fotosD/DSCF7286.JPG</v>
      </c>
      <c r="AD144" s="3" t="str">
        <f>_xlfn.CONCAT("https://raw.githubusercontent.com/marcelo-pascoal/Semaforos/refs/heads/main/fotos/",Tabela1[[#This Row],[id_0]],".jpg")</f>
        <v>https://raw.githubusercontent.com/marcelo-pascoal/Semaforos/refs/heads/main/fotos/235.jpg</v>
      </c>
      <c r="AE144" s="3" t="str">
        <f>_xlfn.CONCAT("https://raw.githubusercontent.com/marcelo-pascoal/Semaforos/refs/heads/main/fotosD/",Tabela1[[#This Row],[id_0]],".jpg")</f>
        <v>https://raw.githubusercontent.com/marcelo-pascoal/Semaforos/refs/heads/main/fotosD/235.jpg</v>
      </c>
      <c r="AF144" s="3">
        <v>1</v>
      </c>
    </row>
    <row r="145" spans="1:32" ht="250" customHeight="1" x14ac:dyDescent="0.35">
      <c r="A145" s="2" t="s">
        <v>512</v>
      </c>
      <c r="B145" s="5">
        <v>236</v>
      </c>
      <c r="C145" s="2" t="s">
        <v>516</v>
      </c>
      <c r="D145" s="1" t="s">
        <v>38</v>
      </c>
      <c r="F145" s="2" t="s">
        <v>518</v>
      </c>
      <c r="G145" s="1" t="s">
        <v>1144</v>
      </c>
      <c r="H145" s="1" t="s">
        <v>1146</v>
      </c>
      <c r="I145" s="1" t="s">
        <v>517</v>
      </c>
      <c r="J145" s="2" t="s">
        <v>507</v>
      </c>
      <c r="K145" s="2" t="s">
        <v>500</v>
      </c>
      <c r="L145" s="3"/>
      <c r="M145" s="3"/>
      <c r="N145" s="3"/>
      <c r="O145" s="3">
        <v>1</v>
      </c>
      <c r="P145" s="3">
        <v>1</v>
      </c>
      <c r="Q145" s="3">
        <v>1</v>
      </c>
      <c r="R145" s="3">
        <v>1</v>
      </c>
      <c r="S145" s="3">
        <v>1</v>
      </c>
      <c r="T145" s="3">
        <v>1</v>
      </c>
      <c r="U145" s="3">
        <v>1</v>
      </c>
      <c r="V145" s="3">
        <v>1</v>
      </c>
      <c r="W145" s="3" t="s">
        <v>40</v>
      </c>
      <c r="X145" s="3" t="s">
        <v>40</v>
      </c>
      <c r="Y145" s="3"/>
      <c r="Z145" s="3"/>
      <c r="AA145" s="3" t="s">
        <v>35</v>
      </c>
      <c r="AB145" s="6" t="str">
        <f>HYPERLINK(_xlfn.CONCAT("https://www.google.com/maps/search/",Tabela1[[#This Row],[GPS]]),"##")</f>
        <v>##</v>
      </c>
      <c r="AC145" s="3" t="str">
        <f>_xlfn.CONCAT("https://raw.githubusercontent.com/marcelo-pascoal/Semaforos/refs/heads/main/fotosD/",Tabela1[[#This Row],[Foto1]])</f>
        <v>https://raw.githubusercontent.com/marcelo-pascoal/Semaforos/refs/heads/main/fotosD/DSCF7277.JPG</v>
      </c>
      <c r="AD145" s="3" t="str">
        <f>_xlfn.CONCAT("https://raw.githubusercontent.com/marcelo-pascoal/Semaforos/refs/heads/main/fotos/",Tabela1[[#This Row],[id_0]],".jpg")</f>
        <v>https://raw.githubusercontent.com/marcelo-pascoal/Semaforos/refs/heads/main/fotos/236.jpg</v>
      </c>
      <c r="AE145" s="3" t="str">
        <f>_xlfn.CONCAT("https://raw.githubusercontent.com/marcelo-pascoal/Semaforos/refs/heads/main/fotosD/",Tabela1[[#This Row],[id_0]],".jpg")</f>
        <v>https://raw.githubusercontent.com/marcelo-pascoal/Semaforos/refs/heads/main/fotosD/236.jpg</v>
      </c>
      <c r="AF145" s="3">
        <v>1</v>
      </c>
    </row>
    <row r="146" spans="1:32" ht="250" customHeight="1" x14ac:dyDescent="0.35">
      <c r="A146" s="2" t="s">
        <v>512</v>
      </c>
      <c r="B146" s="5">
        <v>237</v>
      </c>
      <c r="C146" s="2" t="s">
        <v>519</v>
      </c>
      <c r="D146" s="1" t="s">
        <v>60</v>
      </c>
      <c r="E146" s="2" t="s">
        <v>1147</v>
      </c>
      <c r="F146" s="2" t="s">
        <v>521</v>
      </c>
      <c r="G146" s="1" t="s">
        <v>1145</v>
      </c>
      <c r="H146" s="1" t="s">
        <v>1146</v>
      </c>
      <c r="I146" s="1" t="s">
        <v>520</v>
      </c>
      <c r="J146" s="2" t="s">
        <v>507</v>
      </c>
      <c r="K146" s="2" t="s">
        <v>500</v>
      </c>
      <c r="L146" s="3">
        <v>2</v>
      </c>
      <c r="M146" s="3"/>
      <c r="N146" s="3"/>
      <c r="O146" s="3">
        <v>1</v>
      </c>
      <c r="P146" s="3">
        <v>3</v>
      </c>
      <c r="Q146" s="3">
        <v>3</v>
      </c>
      <c r="R146" s="3">
        <v>1</v>
      </c>
      <c r="S146" s="3">
        <v>1</v>
      </c>
      <c r="T146" s="3">
        <v>1</v>
      </c>
      <c r="U146" s="3">
        <v>1</v>
      </c>
      <c r="V146" s="3">
        <v>1</v>
      </c>
      <c r="W146" s="3" t="s">
        <v>40</v>
      </c>
      <c r="X146" s="3" t="s">
        <v>40</v>
      </c>
      <c r="Y146" s="3" t="s">
        <v>40</v>
      </c>
      <c r="Z146" s="3"/>
      <c r="AA146" s="3" t="s">
        <v>35</v>
      </c>
      <c r="AB146" s="6" t="str">
        <f>HYPERLINK(_xlfn.CONCAT("https://www.google.com/maps/search/",Tabela1[[#This Row],[GPS]]),"##")</f>
        <v>##</v>
      </c>
      <c r="AC146" s="3" t="str">
        <f>_xlfn.CONCAT("https://raw.githubusercontent.com/marcelo-pascoal/Semaforos/refs/heads/main/fotosD/",Tabela1[[#This Row],[Foto1]])</f>
        <v>https://raw.githubusercontent.com/marcelo-pascoal/Semaforos/refs/heads/main/fotosD/DSCF7276.JPG</v>
      </c>
      <c r="AD146" s="3" t="str">
        <f>_xlfn.CONCAT("https://raw.githubusercontent.com/marcelo-pascoal/Semaforos/refs/heads/main/fotos/",Tabela1[[#This Row],[id_0]],".jpg")</f>
        <v>https://raw.githubusercontent.com/marcelo-pascoal/Semaforos/refs/heads/main/fotos/237.jpg</v>
      </c>
      <c r="AE146" s="3" t="str">
        <f>_xlfn.CONCAT("https://raw.githubusercontent.com/marcelo-pascoal/Semaforos/refs/heads/main/fotosD/",Tabela1[[#This Row],[id_0]],".jpg")</f>
        <v>https://raw.githubusercontent.com/marcelo-pascoal/Semaforos/refs/heads/main/fotosD/237.jpg</v>
      </c>
      <c r="AF146" s="3">
        <v>1</v>
      </c>
    </row>
    <row r="147" spans="1:32" ht="250" customHeight="1" x14ac:dyDescent="0.35">
      <c r="A147" s="2" t="s">
        <v>512</v>
      </c>
      <c r="B147" s="5">
        <v>238</v>
      </c>
      <c r="C147" s="2" t="s">
        <v>522</v>
      </c>
      <c r="D147" s="1" t="s">
        <v>31</v>
      </c>
      <c r="F147" s="2" t="s">
        <v>524</v>
      </c>
      <c r="G147" s="1" t="s">
        <v>1144</v>
      </c>
      <c r="H147" s="1" t="s">
        <v>31</v>
      </c>
      <c r="I147" s="1" t="s">
        <v>523</v>
      </c>
      <c r="J147" s="2" t="s">
        <v>507</v>
      </c>
      <c r="K147" s="2" t="s">
        <v>500</v>
      </c>
      <c r="L147" s="3"/>
      <c r="M147" s="3">
        <v>1</v>
      </c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 t="s">
        <v>35</v>
      </c>
      <c r="AB147" s="6" t="str">
        <f>HYPERLINK(_xlfn.CONCAT("https://www.google.com/maps/search/",Tabela1[[#This Row],[GPS]]),"##")</f>
        <v>##</v>
      </c>
      <c r="AC147" s="3" t="str">
        <f>_xlfn.CONCAT("https://raw.githubusercontent.com/marcelo-pascoal/Semaforos/refs/heads/main/fotosD/",Tabela1[[#This Row],[Foto1]])</f>
        <v>https://raw.githubusercontent.com/marcelo-pascoal/Semaforos/refs/heads/main/fotosD/DSCF7274.JPG</v>
      </c>
      <c r="AD147" s="3" t="str">
        <f>_xlfn.CONCAT("https://raw.githubusercontent.com/marcelo-pascoal/Semaforos/refs/heads/main/fotos/",Tabela1[[#This Row],[id_0]],".jpg")</f>
        <v>https://raw.githubusercontent.com/marcelo-pascoal/Semaforos/refs/heads/main/fotos/238.jpg</v>
      </c>
      <c r="AE147" s="3" t="str">
        <f>_xlfn.CONCAT("https://raw.githubusercontent.com/marcelo-pascoal/Semaforos/refs/heads/main/fotosD/",Tabela1[[#This Row],[id_0]],".jpg")</f>
        <v>https://raw.githubusercontent.com/marcelo-pascoal/Semaforos/refs/heads/main/fotosD/238.jpg</v>
      </c>
      <c r="AF147" s="3">
        <v>1</v>
      </c>
    </row>
    <row r="148" spans="1:32" ht="250" customHeight="1" x14ac:dyDescent="0.35">
      <c r="A148" s="2" t="s">
        <v>525</v>
      </c>
      <c r="B148" s="5">
        <v>231</v>
      </c>
      <c r="C148" s="2" t="s">
        <v>526</v>
      </c>
      <c r="D148" s="1" t="s">
        <v>31</v>
      </c>
      <c r="F148" s="2" t="s">
        <v>530</v>
      </c>
      <c r="G148" s="1" t="s">
        <v>1144</v>
      </c>
      <c r="H148" s="1" t="s">
        <v>31</v>
      </c>
      <c r="I148" s="1" t="s">
        <v>527</v>
      </c>
      <c r="J148" s="2" t="s">
        <v>528</v>
      </c>
      <c r="K148" s="2" t="s">
        <v>529</v>
      </c>
      <c r="L148" s="3"/>
      <c r="M148" s="3">
        <v>2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 t="s">
        <v>35</v>
      </c>
      <c r="AB148" s="6" t="str">
        <f>HYPERLINK(_xlfn.CONCAT("https://www.google.com/maps/search/",Tabela1[[#This Row],[GPS]]),"##")</f>
        <v>##</v>
      </c>
      <c r="AC148" s="3" t="str">
        <f>_xlfn.CONCAT("https://raw.githubusercontent.com/marcelo-pascoal/Semaforos/refs/heads/main/fotosD/",Tabela1[[#This Row],[Foto1]])</f>
        <v>https://raw.githubusercontent.com/marcelo-pascoal/Semaforos/refs/heads/main/fotosD/DSCF7332.JPG</v>
      </c>
      <c r="AD148" s="3" t="str">
        <f>_xlfn.CONCAT("https://raw.githubusercontent.com/marcelo-pascoal/Semaforos/refs/heads/main/fotos/",Tabela1[[#This Row],[id_0]],".jpg")</f>
        <v>https://raw.githubusercontent.com/marcelo-pascoal/Semaforos/refs/heads/main/fotos/231.jpg</v>
      </c>
      <c r="AE148" s="3" t="str">
        <f>_xlfn.CONCAT("https://raw.githubusercontent.com/marcelo-pascoal/Semaforos/refs/heads/main/fotosD/",Tabela1[[#This Row],[id_0]],".jpg")</f>
        <v>https://raw.githubusercontent.com/marcelo-pascoal/Semaforos/refs/heads/main/fotosD/231.jpg</v>
      </c>
      <c r="AF148" s="3">
        <v>1</v>
      </c>
    </row>
    <row r="149" spans="1:32" ht="250" customHeight="1" x14ac:dyDescent="0.35">
      <c r="A149" s="2" t="s">
        <v>525</v>
      </c>
      <c r="B149" s="5">
        <v>232</v>
      </c>
      <c r="C149" s="2" t="s">
        <v>531</v>
      </c>
      <c r="D149" s="1" t="s">
        <v>60</v>
      </c>
      <c r="E149" s="2" t="s">
        <v>1147</v>
      </c>
      <c r="F149" s="2" t="s">
        <v>533</v>
      </c>
      <c r="G149" s="1" t="s">
        <v>1145</v>
      </c>
      <c r="H149" s="1" t="s">
        <v>1146</v>
      </c>
      <c r="I149" s="1" t="s">
        <v>532</v>
      </c>
      <c r="J149" s="2" t="s">
        <v>528</v>
      </c>
      <c r="K149" s="2" t="s">
        <v>529</v>
      </c>
      <c r="L149" s="3">
        <v>2</v>
      </c>
      <c r="M149" s="3"/>
      <c r="N149" s="3"/>
      <c r="O149" s="3">
        <v>2</v>
      </c>
      <c r="P149" s="3">
        <v>4</v>
      </c>
      <c r="Q149" s="3">
        <v>4</v>
      </c>
      <c r="R149" s="3">
        <v>2</v>
      </c>
      <c r="S149" s="3">
        <v>2</v>
      </c>
      <c r="T149" s="3">
        <v>2</v>
      </c>
      <c r="U149" s="3">
        <v>2</v>
      </c>
      <c r="V149" s="3">
        <v>2</v>
      </c>
      <c r="W149" s="3" t="s">
        <v>40</v>
      </c>
      <c r="X149" s="3" t="s">
        <v>40</v>
      </c>
      <c r="Y149" s="3" t="s">
        <v>40</v>
      </c>
      <c r="Z149" s="3"/>
      <c r="AA149" s="3" t="s">
        <v>35</v>
      </c>
      <c r="AB149" s="6" t="str">
        <f>HYPERLINK(_xlfn.CONCAT("https://www.google.com/maps/search/",Tabela1[[#This Row],[GPS]]),"##")</f>
        <v>##</v>
      </c>
      <c r="AC149" s="3" t="str">
        <f>_xlfn.CONCAT("https://raw.githubusercontent.com/marcelo-pascoal/Semaforos/refs/heads/main/fotosD/",Tabela1[[#This Row],[Foto1]])</f>
        <v>https://raw.githubusercontent.com/marcelo-pascoal/Semaforos/refs/heads/main/fotosD/DSCF7292.JPG</v>
      </c>
      <c r="AD149" s="3" t="str">
        <f>_xlfn.CONCAT("https://raw.githubusercontent.com/marcelo-pascoal/Semaforos/refs/heads/main/fotos/",Tabela1[[#This Row],[id_0]],".jpg")</f>
        <v>https://raw.githubusercontent.com/marcelo-pascoal/Semaforos/refs/heads/main/fotos/232.jpg</v>
      </c>
      <c r="AE149" s="3" t="str">
        <f>_xlfn.CONCAT("https://raw.githubusercontent.com/marcelo-pascoal/Semaforos/refs/heads/main/fotosD/",Tabela1[[#This Row],[id_0]],".jpg")</f>
        <v>https://raw.githubusercontent.com/marcelo-pascoal/Semaforos/refs/heads/main/fotosD/232.jpg</v>
      </c>
      <c r="AF149" s="3">
        <v>1</v>
      </c>
    </row>
    <row r="150" spans="1:32" ht="250" customHeight="1" x14ac:dyDescent="0.35">
      <c r="A150" s="2" t="s">
        <v>525</v>
      </c>
      <c r="B150" s="5">
        <v>620</v>
      </c>
      <c r="C150" s="2" t="s">
        <v>1165</v>
      </c>
      <c r="D150" s="1" t="s">
        <v>38</v>
      </c>
      <c r="E150" s="1"/>
      <c r="G150" s="1" t="s">
        <v>1144</v>
      </c>
      <c r="H150" s="1" t="s">
        <v>1146</v>
      </c>
      <c r="I150" s="1" t="s">
        <v>1153</v>
      </c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7" t="str">
        <f>HYPERLINK(_xlfn.CONCAT("https://www.google.com/maps/search/",Tabela1[[#This Row],[GPS]]),"##")</f>
        <v>##</v>
      </c>
      <c r="AC150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150" s="3" t="str">
        <f>_xlfn.CONCAT("https://raw.githubusercontent.com/marcelo-pascoal/Semaforos/refs/heads/main/fotos/",Tabela1[[#This Row],[id_0]],".jpg")</f>
        <v>https://raw.githubusercontent.com/marcelo-pascoal/Semaforos/refs/heads/main/fotos/620.jpg</v>
      </c>
      <c r="AE150" s="3" t="str">
        <f>_xlfn.CONCAT("https://raw.githubusercontent.com/marcelo-pascoal/Semaforos/refs/heads/main/fotosD/",Tabela1[[#This Row],[id_0]],".jpg")</f>
        <v>https://raw.githubusercontent.com/marcelo-pascoal/Semaforos/refs/heads/main/fotosD/620.jpg</v>
      </c>
      <c r="AF150" s="3">
        <v>1</v>
      </c>
    </row>
    <row r="151" spans="1:32" ht="250" customHeight="1" x14ac:dyDescent="0.35">
      <c r="A151" s="2" t="s">
        <v>525</v>
      </c>
      <c r="B151" s="5">
        <v>233</v>
      </c>
      <c r="C151" s="2" t="s">
        <v>534</v>
      </c>
      <c r="D151" s="1" t="s">
        <v>38</v>
      </c>
      <c r="E151" s="2" t="s">
        <v>1147</v>
      </c>
      <c r="F151" s="2" t="s">
        <v>536</v>
      </c>
      <c r="G151" s="1" t="s">
        <v>1144</v>
      </c>
      <c r="H151" s="1" t="s">
        <v>1146</v>
      </c>
      <c r="I151" s="1" t="s">
        <v>535</v>
      </c>
      <c r="J151" s="2" t="s">
        <v>528</v>
      </c>
      <c r="K151" s="2" t="s">
        <v>529</v>
      </c>
      <c r="L151" s="3"/>
      <c r="M151" s="3"/>
      <c r="N151" s="3"/>
      <c r="O151" s="3">
        <v>1</v>
      </c>
      <c r="P151" s="3">
        <v>1</v>
      </c>
      <c r="Q151" s="3">
        <v>1</v>
      </c>
      <c r="R151" s="3">
        <v>1</v>
      </c>
      <c r="S151" s="3">
        <v>1</v>
      </c>
      <c r="T151" s="3">
        <v>1</v>
      </c>
      <c r="U151" s="3">
        <v>1</v>
      </c>
      <c r="V151" s="3">
        <v>1</v>
      </c>
      <c r="W151" s="3" t="s">
        <v>40</v>
      </c>
      <c r="X151" s="3" t="s">
        <v>40</v>
      </c>
      <c r="Y151" s="3"/>
      <c r="Z151" s="3"/>
      <c r="AA151" s="3" t="s">
        <v>35</v>
      </c>
      <c r="AB151" s="6" t="str">
        <f>HYPERLINK(_xlfn.CONCAT("https://www.google.com/maps/search/",Tabela1[[#This Row],[GPS]]),"##")</f>
        <v>##</v>
      </c>
      <c r="AC151" s="3" t="str">
        <f>_xlfn.CONCAT("https://raw.githubusercontent.com/marcelo-pascoal/Semaforos/refs/heads/main/fotosD/",Tabela1[[#This Row],[Foto1]])</f>
        <v>https://raw.githubusercontent.com/marcelo-pascoal/Semaforos/refs/heads/main/fotosD/DSCF7293.JPG</v>
      </c>
      <c r="AD151" s="3" t="str">
        <f>_xlfn.CONCAT("https://raw.githubusercontent.com/marcelo-pascoal/Semaforos/refs/heads/main/fotos/",Tabela1[[#This Row],[id_0]],".jpg")</f>
        <v>https://raw.githubusercontent.com/marcelo-pascoal/Semaforos/refs/heads/main/fotos/233.jpg</v>
      </c>
      <c r="AE151" s="3" t="str">
        <f>_xlfn.CONCAT("https://raw.githubusercontent.com/marcelo-pascoal/Semaforos/refs/heads/main/fotosD/",Tabela1[[#This Row],[id_0]],".jpg")</f>
        <v>https://raw.githubusercontent.com/marcelo-pascoal/Semaforos/refs/heads/main/fotosD/233.jpg</v>
      </c>
      <c r="AF151" s="3">
        <v>1</v>
      </c>
    </row>
    <row r="152" spans="1:32" ht="250" customHeight="1" x14ac:dyDescent="0.35">
      <c r="A152" s="2" t="s">
        <v>525</v>
      </c>
      <c r="B152" s="5">
        <v>234</v>
      </c>
      <c r="C152" s="2" t="s">
        <v>537</v>
      </c>
      <c r="D152" s="1" t="s">
        <v>31</v>
      </c>
      <c r="E152" s="2" t="s">
        <v>1147</v>
      </c>
      <c r="F152" s="2" t="s">
        <v>539</v>
      </c>
      <c r="G152" s="1" t="s">
        <v>1144</v>
      </c>
      <c r="H152" s="1" t="s">
        <v>31</v>
      </c>
      <c r="I152" s="1" t="s">
        <v>538</v>
      </c>
      <c r="J152" s="2" t="s">
        <v>528</v>
      </c>
      <c r="K152" s="2" t="s">
        <v>529</v>
      </c>
      <c r="L152" s="3"/>
      <c r="M152" s="3">
        <v>2</v>
      </c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 t="s">
        <v>35</v>
      </c>
      <c r="AB152" s="6" t="str">
        <f>HYPERLINK(_xlfn.CONCAT("https://www.google.com/maps/search/",Tabela1[[#This Row],[GPS]]),"##")</f>
        <v>##</v>
      </c>
      <c r="AC152" s="3" t="str">
        <f>_xlfn.CONCAT("https://raw.githubusercontent.com/marcelo-pascoal/Semaforos/refs/heads/main/fotosD/",Tabela1[[#This Row],[Foto1]])</f>
        <v>https://raw.githubusercontent.com/marcelo-pascoal/Semaforos/refs/heads/main/fotosD/DSCF7291.JPG</v>
      </c>
      <c r="AD152" s="3" t="str">
        <f>_xlfn.CONCAT("https://raw.githubusercontent.com/marcelo-pascoal/Semaforos/refs/heads/main/fotos/",Tabela1[[#This Row],[id_0]],".jpg")</f>
        <v>https://raw.githubusercontent.com/marcelo-pascoal/Semaforos/refs/heads/main/fotos/234.jpg</v>
      </c>
      <c r="AE152" s="3" t="str">
        <f>_xlfn.CONCAT("https://raw.githubusercontent.com/marcelo-pascoal/Semaforos/refs/heads/main/fotosD/",Tabela1[[#This Row],[id_0]],".jpg")</f>
        <v>https://raw.githubusercontent.com/marcelo-pascoal/Semaforos/refs/heads/main/fotosD/234.jpg</v>
      </c>
      <c r="AF152" s="3">
        <v>1</v>
      </c>
    </row>
    <row r="153" spans="1:32" ht="250" customHeight="1" x14ac:dyDescent="0.35">
      <c r="A153" s="2" t="s">
        <v>540</v>
      </c>
      <c r="B153" s="5">
        <v>227</v>
      </c>
      <c r="C153" s="2" t="s">
        <v>541</v>
      </c>
      <c r="D153" s="1" t="s">
        <v>31</v>
      </c>
      <c r="E153" s="2" t="s">
        <v>1147</v>
      </c>
      <c r="F153" s="2" t="s">
        <v>543</v>
      </c>
      <c r="G153" s="1" t="s">
        <v>1144</v>
      </c>
      <c r="H153" s="1" t="s">
        <v>31</v>
      </c>
      <c r="I153" s="1" t="s">
        <v>542</v>
      </c>
      <c r="J153" s="2" t="s">
        <v>528</v>
      </c>
      <c r="K153" s="2" t="s">
        <v>529</v>
      </c>
      <c r="L153" s="3"/>
      <c r="M153" s="3">
        <v>2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 t="s">
        <v>35</v>
      </c>
      <c r="AB153" s="6" t="str">
        <f>HYPERLINK(_xlfn.CONCAT("https://www.google.com/maps/search/",Tabela1[[#This Row],[GPS]]),"##")</f>
        <v>##</v>
      </c>
      <c r="AC153" s="3" t="str">
        <f>_xlfn.CONCAT("https://raw.githubusercontent.com/marcelo-pascoal/Semaforos/refs/heads/main/fotosD/",Tabela1[[#This Row],[Foto1]])</f>
        <v>https://raw.githubusercontent.com/marcelo-pascoal/Semaforos/refs/heads/main/fotosD/DSCFLRA28_1.jpg</v>
      </c>
      <c r="AD153" s="3" t="str">
        <f>_xlfn.CONCAT("https://raw.githubusercontent.com/marcelo-pascoal/Semaforos/refs/heads/main/fotos/",Tabela1[[#This Row],[id_0]],".jpg")</f>
        <v>https://raw.githubusercontent.com/marcelo-pascoal/Semaforos/refs/heads/main/fotos/227.jpg</v>
      </c>
      <c r="AE153" s="3" t="str">
        <f>_xlfn.CONCAT("https://raw.githubusercontent.com/marcelo-pascoal/Semaforos/refs/heads/main/fotosD/",Tabela1[[#This Row],[id_0]],".jpg")</f>
        <v>https://raw.githubusercontent.com/marcelo-pascoal/Semaforos/refs/heads/main/fotosD/227.jpg</v>
      </c>
      <c r="AF153" s="3">
        <v>1</v>
      </c>
    </row>
    <row r="154" spans="1:32" ht="250" customHeight="1" x14ac:dyDescent="0.35">
      <c r="A154" s="2" t="s">
        <v>540</v>
      </c>
      <c r="B154" s="5">
        <v>228</v>
      </c>
      <c r="C154" s="2" t="s">
        <v>544</v>
      </c>
      <c r="D154" s="1" t="s">
        <v>38</v>
      </c>
      <c r="E154" s="2" t="s">
        <v>1147</v>
      </c>
      <c r="F154" s="2" t="s">
        <v>546</v>
      </c>
      <c r="G154" s="1" t="s">
        <v>1144</v>
      </c>
      <c r="H154" s="1" t="s">
        <v>1146</v>
      </c>
      <c r="I154" s="1" t="s">
        <v>545</v>
      </c>
      <c r="J154" s="2" t="s">
        <v>528</v>
      </c>
      <c r="K154" s="2" t="s">
        <v>529</v>
      </c>
      <c r="L154" s="3"/>
      <c r="M154" s="3"/>
      <c r="N154" s="3"/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 t="s">
        <v>40</v>
      </c>
      <c r="X154" s="3" t="s">
        <v>40</v>
      </c>
      <c r="Y154" s="3" t="s">
        <v>40</v>
      </c>
      <c r="Z154" s="3"/>
      <c r="AA154" s="3" t="s">
        <v>35</v>
      </c>
      <c r="AB154" s="6" t="str">
        <f>HYPERLINK(_xlfn.CONCAT("https://www.google.com/maps/search/",Tabela1[[#This Row],[GPS]]),"##")</f>
        <v>##</v>
      </c>
      <c r="AC154" s="3" t="str">
        <f>_xlfn.CONCAT("https://raw.githubusercontent.com/marcelo-pascoal/Semaforos/refs/heads/main/fotosD/",Tabela1[[#This Row],[Foto1]])</f>
        <v>https://raw.githubusercontent.com/marcelo-pascoal/Semaforos/refs/heads/main/fotosD/DSCF7324.JPG</v>
      </c>
      <c r="AD154" s="3" t="str">
        <f>_xlfn.CONCAT("https://raw.githubusercontent.com/marcelo-pascoal/Semaforos/refs/heads/main/fotos/",Tabela1[[#This Row],[id_0]],".jpg")</f>
        <v>https://raw.githubusercontent.com/marcelo-pascoal/Semaforos/refs/heads/main/fotos/228.jpg</v>
      </c>
      <c r="AE154" s="3" t="str">
        <f>_xlfn.CONCAT("https://raw.githubusercontent.com/marcelo-pascoal/Semaforos/refs/heads/main/fotosD/",Tabela1[[#This Row],[id_0]],".jpg")</f>
        <v>https://raw.githubusercontent.com/marcelo-pascoal/Semaforos/refs/heads/main/fotosD/228.jpg</v>
      </c>
      <c r="AF154" s="3">
        <v>1</v>
      </c>
    </row>
    <row r="155" spans="1:32" ht="250" customHeight="1" x14ac:dyDescent="0.35">
      <c r="A155" s="2" t="s">
        <v>540</v>
      </c>
      <c r="B155" s="5">
        <v>229</v>
      </c>
      <c r="C155" s="2" t="s">
        <v>547</v>
      </c>
      <c r="D155" s="1" t="s">
        <v>60</v>
      </c>
      <c r="E155" s="2" t="s">
        <v>1147</v>
      </c>
      <c r="F155" s="2" t="s">
        <v>549</v>
      </c>
      <c r="G155" s="1" t="s">
        <v>1145</v>
      </c>
      <c r="H155" s="1" t="s">
        <v>1146</v>
      </c>
      <c r="I155" s="1" t="s">
        <v>548</v>
      </c>
      <c r="J155" s="2" t="s">
        <v>528</v>
      </c>
      <c r="K155" s="2" t="s">
        <v>529</v>
      </c>
      <c r="L155" s="3">
        <v>2</v>
      </c>
      <c r="M155" s="3"/>
      <c r="N155" s="3"/>
      <c r="O155" s="3">
        <v>1</v>
      </c>
      <c r="P155" s="3">
        <v>3</v>
      </c>
      <c r="Q155" s="3">
        <v>3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 t="s">
        <v>40</v>
      </c>
      <c r="X155" s="3" t="s">
        <v>40</v>
      </c>
      <c r="Y155" s="3" t="s">
        <v>40</v>
      </c>
      <c r="Z155" s="3"/>
      <c r="AA155" s="3" t="s">
        <v>35</v>
      </c>
      <c r="AB155" s="6" t="str">
        <f>HYPERLINK(_xlfn.CONCAT("https://www.google.com/maps/search/",Tabela1[[#This Row],[GPS]]),"##")</f>
        <v>##</v>
      </c>
      <c r="AC155" s="3" t="str">
        <f>_xlfn.CONCAT("https://raw.githubusercontent.com/marcelo-pascoal/Semaforos/refs/heads/main/fotosD/",Tabela1[[#This Row],[Foto1]])</f>
        <v>https://raw.githubusercontent.com/marcelo-pascoal/Semaforos/refs/heads/main/fotosD/DSCF7319_1.JPG</v>
      </c>
      <c r="AD155" s="3" t="str">
        <f>_xlfn.CONCAT("https://raw.githubusercontent.com/marcelo-pascoal/Semaforos/refs/heads/main/fotos/",Tabela1[[#This Row],[id_0]],".jpg")</f>
        <v>https://raw.githubusercontent.com/marcelo-pascoal/Semaforos/refs/heads/main/fotos/229.jpg</v>
      </c>
      <c r="AE155" s="3" t="str">
        <f>_xlfn.CONCAT("https://raw.githubusercontent.com/marcelo-pascoal/Semaforos/refs/heads/main/fotosD/",Tabela1[[#This Row],[id_0]],".jpg")</f>
        <v>https://raw.githubusercontent.com/marcelo-pascoal/Semaforos/refs/heads/main/fotosD/229.jpg</v>
      </c>
      <c r="AF155" s="3">
        <v>1</v>
      </c>
    </row>
    <row r="156" spans="1:32" ht="250" customHeight="1" x14ac:dyDescent="0.35">
      <c r="A156" s="2" t="s">
        <v>540</v>
      </c>
      <c r="B156" s="5">
        <v>230</v>
      </c>
      <c r="C156" s="2" t="s">
        <v>550</v>
      </c>
      <c r="D156" s="1" t="s">
        <v>31</v>
      </c>
      <c r="E156" s="2" t="s">
        <v>1147</v>
      </c>
      <c r="F156" s="2" t="s">
        <v>552</v>
      </c>
      <c r="G156" s="1" t="s">
        <v>1144</v>
      </c>
      <c r="H156" s="1" t="s">
        <v>31</v>
      </c>
      <c r="I156" s="1" t="s">
        <v>551</v>
      </c>
      <c r="J156" s="2" t="s">
        <v>528</v>
      </c>
      <c r="K156" s="2" t="s">
        <v>529</v>
      </c>
      <c r="L156" s="3"/>
      <c r="M156" s="3">
        <v>2</v>
      </c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 t="s">
        <v>35</v>
      </c>
      <c r="AB156" s="6" t="str">
        <f>HYPERLINK(_xlfn.CONCAT("https://www.google.com/maps/search/",Tabela1[[#This Row],[GPS]]),"##")</f>
        <v>##</v>
      </c>
      <c r="AC156" s="3" t="str">
        <f>_xlfn.CONCAT("https://raw.githubusercontent.com/marcelo-pascoal/Semaforos/refs/heads/main/fotosD/",Tabela1[[#This Row],[Foto1]])</f>
        <v>https://raw.githubusercontent.com/marcelo-pascoal/Semaforos/refs/heads/main/fotosD/DSCF7314.JPG</v>
      </c>
      <c r="AD156" s="3" t="str">
        <f>_xlfn.CONCAT("https://raw.githubusercontent.com/marcelo-pascoal/Semaforos/refs/heads/main/fotos/",Tabela1[[#This Row],[id_0]],".jpg")</f>
        <v>https://raw.githubusercontent.com/marcelo-pascoal/Semaforos/refs/heads/main/fotos/230.jpg</v>
      </c>
      <c r="AE156" s="3" t="str">
        <f>_xlfn.CONCAT("https://raw.githubusercontent.com/marcelo-pascoal/Semaforos/refs/heads/main/fotosD/",Tabela1[[#This Row],[id_0]],".jpg")</f>
        <v>https://raw.githubusercontent.com/marcelo-pascoal/Semaforos/refs/heads/main/fotosD/230.jpg</v>
      </c>
      <c r="AF156" s="3">
        <v>1</v>
      </c>
    </row>
    <row r="157" spans="1:32" ht="250" customHeight="1" x14ac:dyDescent="0.35">
      <c r="A157" s="2" t="s">
        <v>553</v>
      </c>
      <c r="B157" s="5">
        <v>221</v>
      </c>
      <c r="C157" s="2" t="s">
        <v>554</v>
      </c>
      <c r="D157" s="1" t="s">
        <v>38</v>
      </c>
      <c r="E157" s="2" t="s">
        <v>1147</v>
      </c>
      <c r="F157" s="2" t="s">
        <v>557</v>
      </c>
      <c r="G157" s="1" t="s">
        <v>1144</v>
      </c>
      <c r="H157" s="1" t="s">
        <v>1146</v>
      </c>
      <c r="I157" s="1" t="s">
        <v>555</v>
      </c>
      <c r="J157" s="2" t="s">
        <v>556</v>
      </c>
      <c r="K157" s="2" t="s">
        <v>529</v>
      </c>
      <c r="L157" s="3"/>
      <c r="M157" s="3">
        <v>2</v>
      </c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 t="s">
        <v>35</v>
      </c>
      <c r="AB157" s="6" t="str">
        <f>HYPERLINK(_xlfn.CONCAT("https://www.google.com/maps/search/",Tabela1[[#This Row],[GPS]]),"##")</f>
        <v>##</v>
      </c>
      <c r="AC157" s="3" t="str">
        <f>_xlfn.CONCAT("https://raw.githubusercontent.com/marcelo-pascoal/Semaforos/refs/heads/main/fotosD/",Tabela1[[#This Row],[Foto1]])</f>
        <v>https://raw.githubusercontent.com/marcelo-pascoal/Semaforos/refs/heads/main/fotosD/DSCF7581.JPG</v>
      </c>
      <c r="AD157" s="3" t="str">
        <f>_xlfn.CONCAT("https://raw.githubusercontent.com/marcelo-pascoal/Semaforos/refs/heads/main/fotos/",Tabela1[[#This Row],[id_0]],".jpg")</f>
        <v>https://raw.githubusercontent.com/marcelo-pascoal/Semaforos/refs/heads/main/fotos/221.jpg</v>
      </c>
      <c r="AE157" s="3" t="str">
        <f>_xlfn.CONCAT("https://raw.githubusercontent.com/marcelo-pascoal/Semaforos/refs/heads/main/fotosD/",Tabela1[[#This Row],[id_0]],".jpg")</f>
        <v>https://raw.githubusercontent.com/marcelo-pascoal/Semaforos/refs/heads/main/fotosD/221.jpg</v>
      </c>
      <c r="AF157" s="3">
        <v>1</v>
      </c>
    </row>
    <row r="158" spans="1:32" ht="250" customHeight="1" x14ac:dyDescent="0.35">
      <c r="A158" s="2" t="s">
        <v>553</v>
      </c>
      <c r="B158" s="5">
        <v>222</v>
      </c>
      <c r="C158" s="2" t="s">
        <v>558</v>
      </c>
      <c r="D158" s="1" t="s">
        <v>60</v>
      </c>
      <c r="E158" s="2" t="s">
        <v>1147</v>
      </c>
      <c r="F158" s="2" t="s">
        <v>560</v>
      </c>
      <c r="G158" s="1" t="s">
        <v>1145</v>
      </c>
      <c r="H158" s="1" t="s">
        <v>1146</v>
      </c>
      <c r="I158" s="1" t="s">
        <v>559</v>
      </c>
      <c r="J158" s="2" t="s">
        <v>556</v>
      </c>
      <c r="K158" s="2" t="s">
        <v>529</v>
      </c>
      <c r="L158" s="3">
        <v>1</v>
      </c>
      <c r="M158" s="3"/>
      <c r="N158" s="3"/>
      <c r="O158" s="3">
        <v>1</v>
      </c>
      <c r="P158" s="3">
        <v>3</v>
      </c>
      <c r="Q158" s="3">
        <v>2</v>
      </c>
      <c r="R158" s="3">
        <v>1</v>
      </c>
      <c r="S158" s="3">
        <v>1</v>
      </c>
      <c r="T158" s="3">
        <v>1</v>
      </c>
      <c r="U158" s="3">
        <v>1</v>
      </c>
      <c r="V158" s="3">
        <v>1</v>
      </c>
      <c r="W158" s="3" t="s">
        <v>40</v>
      </c>
      <c r="X158" s="3" t="s">
        <v>40</v>
      </c>
      <c r="Y158" s="3" t="s">
        <v>40</v>
      </c>
      <c r="Z158" s="3"/>
      <c r="AA158" s="3" t="s">
        <v>35</v>
      </c>
      <c r="AB158" s="6" t="str">
        <f>HYPERLINK(_xlfn.CONCAT("https://www.google.com/maps/search/",Tabela1[[#This Row],[GPS]]),"##")</f>
        <v>##</v>
      </c>
      <c r="AC158" s="3" t="str">
        <f>_xlfn.CONCAT("https://raw.githubusercontent.com/marcelo-pascoal/Semaforos/refs/heads/main/fotosD/",Tabela1[[#This Row],[Foto1]])</f>
        <v>https://raw.githubusercontent.com/marcelo-pascoal/Semaforos/refs/heads/main/fotosD/DSCF7584.JPG</v>
      </c>
      <c r="AD158" s="3" t="str">
        <f>_xlfn.CONCAT("https://raw.githubusercontent.com/marcelo-pascoal/Semaforos/refs/heads/main/fotos/",Tabela1[[#This Row],[id_0]],".jpg")</f>
        <v>https://raw.githubusercontent.com/marcelo-pascoal/Semaforos/refs/heads/main/fotos/222.jpg</v>
      </c>
      <c r="AE158" s="3" t="str">
        <f>_xlfn.CONCAT("https://raw.githubusercontent.com/marcelo-pascoal/Semaforos/refs/heads/main/fotosD/",Tabela1[[#This Row],[id_0]],".jpg")</f>
        <v>https://raw.githubusercontent.com/marcelo-pascoal/Semaforos/refs/heads/main/fotosD/222.jpg</v>
      </c>
      <c r="AF158" s="3">
        <v>5</v>
      </c>
    </row>
    <row r="159" spans="1:32" ht="250" customHeight="1" x14ac:dyDescent="0.35">
      <c r="A159" s="2" t="s">
        <v>553</v>
      </c>
      <c r="B159" s="5">
        <v>223</v>
      </c>
      <c r="C159" s="2" t="s">
        <v>561</v>
      </c>
      <c r="D159" s="1" t="s">
        <v>38</v>
      </c>
      <c r="E159" s="2" t="s">
        <v>1147</v>
      </c>
      <c r="F159" s="2" t="s">
        <v>564</v>
      </c>
      <c r="G159" s="1" t="s">
        <v>1144</v>
      </c>
      <c r="H159" s="1" t="s">
        <v>1146</v>
      </c>
      <c r="I159" s="1" t="s">
        <v>562</v>
      </c>
      <c r="J159" s="2" t="s">
        <v>563</v>
      </c>
      <c r="K159" s="2" t="s">
        <v>529</v>
      </c>
      <c r="L159" s="3"/>
      <c r="M159" s="3"/>
      <c r="N159" s="3"/>
      <c r="O159" s="3">
        <v>1</v>
      </c>
      <c r="P159" s="3">
        <v>2</v>
      </c>
      <c r="Q159" s="3">
        <v>1</v>
      </c>
      <c r="R159" s="3">
        <v>1</v>
      </c>
      <c r="S159" s="3">
        <v>1</v>
      </c>
      <c r="T159" s="3">
        <v>1</v>
      </c>
      <c r="U159" s="3"/>
      <c r="V159" s="3"/>
      <c r="W159" s="3"/>
      <c r="X159" s="3"/>
      <c r="Y159" s="3"/>
      <c r="Z159" s="3"/>
      <c r="AA159" s="3" t="s">
        <v>35</v>
      </c>
      <c r="AB159" s="6" t="str">
        <f>HYPERLINK(_xlfn.CONCAT("https://www.google.com/maps/search/",Tabela1[[#This Row],[GPS]]),"##")</f>
        <v>##</v>
      </c>
      <c r="AC159" s="3" t="str">
        <f>_xlfn.CONCAT("https://raw.githubusercontent.com/marcelo-pascoal/Semaforos/refs/heads/main/fotosD/",Tabela1[[#This Row],[Foto1]])</f>
        <v>https://raw.githubusercontent.com/marcelo-pascoal/Semaforos/refs/heads/main/fotosD/DSCF7598.JPG</v>
      </c>
      <c r="AD159" s="3" t="str">
        <f>_xlfn.CONCAT("https://raw.githubusercontent.com/marcelo-pascoal/Semaforos/refs/heads/main/fotos/",Tabela1[[#This Row],[id_0]],".jpg")</f>
        <v>https://raw.githubusercontent.com/marcelo-pascoal/Semaforos/refs/heads/main/fotos/223.jpg</v>
      </c>
      <c r="AE159" s="3" t="str">
        <f>_xlfn.CONCAT("https://raw.githubusercontent.com/marcelo-pascoal/Semaforos/refs/heads/main/fotosD/",Tabela1[[#This Row],[id_0]],".jpg")</f>
        <v>https://raw.githubusercontent.com/marcelo-pascoal/Semaforos/refs/heads/main/fotosD/223.jpg</v>
      </c>
      <c r="AF159" s="3">
        <v>5</v>
      </c>
    </row>
    <row r="160" spans="1:32" ht="250" customHeight="1" x14ac:dyDescent="0.35">
      <c r="A160" s="2" t="s">
        <v>553</v>
      </c>
      <c r="B160" s="5">
        <v>224</v>
      </c>
      <c r="C160" s="2" t="s">
        <v>565</v>
      </c>
      <c r="D160" s="1" t="s">
        <v>38</v>
      </c>
      <c r="E160" s="2" t="s">
        <v>1147</v>
      </c>
      <c r="F160" s="2" t="s">
        <v>568</v>
      </c>
      <c r="G160" s="1" t="s">
        <v>1144</v>
      </c>
      <c r="H160" s="1" t="s">
        <v>1146</v>
      </c>
      <c r="I160" s="1" t="s">
        <v>566</v>
      </c>
      <c r="J160" s="2" t="s">
        <v>567</v>
      </c>
      <c r="K160" s="2" t="s">
        <v>529</v>
      </c>
      <c r="L160" s="3"/>
      <c r="M160" s="3"/>
      <c r="N160" s="3"/>
      <c r="O160" s="3">
        <v>1</v>
      </c>
      <c r="P160" s="3">
        <v>2</v>
      </c>
      <c r="Q160" s="3">
        <v>1</v>
      </c>
      <c r="R160" s="3">
        <v>1</v>
      </c>
      <c r="S160" s="3">
        <v>1</v>
      </c>
      <c r="T160" s="3">
        <v>1</v>
      </c>
      <c r="U160" s="3"/>
      <c r="V160" s="3"/>
      <c r="W160" s="3"/>
      <c r="X160" s="3"/>
      <c r="Y160" s="3"/>
      <c r="Z160" s="3"/>
      <c r="AA160" s="3" t="s">
        <v>35</v>
      </c>
      <c r="AB160" s="6" t="str">
        <f>HYPERLINK(_xlfn.CONCAT("https://www.google.com/maps/search/",Tabela1[[#This Row],[GPS]]),"##")</f>
        <v>##</v>
      </c>
      <c r="AC160" s="3" t="str">
        <f>_xlfn.CONCAT("https://raw.githubusercontent.com/marcelo-pascoal/Semaforos/refs/heads/main/fotosD/",Tabela1[[#This Row],[Foto1]])</f>
        <v>https://raw.githubusercontent.com/marcelo-pascoal/Semaforos/refs/heads/main/fotosD/DSCF7592.JPG</v>
      </c>
      <c r="AD160" s="3" t="str">
        <f>_xlfn.CONCAT("https://raw.githubusercontent.com/marcelo-pascoal/Semaforos/refs/heads/main/fotos/",Tabela1[[#This Row],[id_0]],".jpg")</f>
        <v>https://raw.githubusercontent.com/marcelo-pascoal/Semaforos/refs/heads/main/fotos/224.jpg</v>
      </c>
      <c r="AE160" s="3" t="str">
        <f>_xlfn.CONCAT("https://raw.githubusercontent.com/marcelo-pascoal/Semaforos/refs/heads/main/fotosD/",Tabela1[[#This Row],[id_0]],".jpg")</f>
        <v>https://raw.githubusercontent.com/marcelo-pascoal/Semaforos/refs/heads/main/fotosD/224.jpg</v>
      </c>
      <c r="AF160" s="3">
        <v>5</v>
      </c>
    </row>
    <row r="161" spans="1:32" ht="250" customHeight="1" x14ac:dyDescent="0.35">
      <c r="A161" s="2" t="s">
        <v>553</v>
      </c>
      <c r="B161" s="5">
        <v>225</v>
      </c>
      <c r="C161" s="2" t="s">
        <v>569</v>
      </c>
      <c r="D161" s="1" t="s">
        <v>60</v>
      </c>
      <c r="E161" s="2" t="s">
        <v>1147</v>
      </c>
      <c r="F161" s="2" t="s">
        <v>571</v>
      </c>
      <c r="G161" s="1" t="s">
        <v>1145</v>
      </c>
      <c r="H161" s="1" t="s">
        <v>1146</v>
      </c>
      <c r="I161" s="1" t="s">
        <v>570</v>
      </c>
      <c r="J161" s="2" t="s">
        <v>556</v>
      </c>
      <c r="K161" s="2" t="s">
        <v>529</v>
      </c>
      <c r="L161" s="3">
        <v>1</v>
      </c>
      <c r="M161" s="3"/>
      <c r="N161" s="3"/>
      <c r="O161" s="3">
        <v>1</v>
      </c>
      <c r="P161" s="3">
        <v>3</v>
      </c>
      <c r="Q161" s="3">
        <v>2</v>
      </c>
      <c r="R161" s="3">
        <v>1</v>
      </c>
      <c r="S161" s="3">
        <v>1</v>
      </c>
      <c r="T161" s="3">
        <v>1</v>
      </c>
      <c r="U161" s="3">
        <v>1</v>
      </c>
      <c r="V161" s="3">
        <v>1</v>
      </c>
      <c r="W161" s="3" t="s">
        <v>40</v>
      </c>
      <c r="X161" s="3" t="s">
        <v>40</v>
      </c>
      <c r="Y161" s="3" t="s">
        <v>40</v>
      </c>
      <c r="Z161" s="3"/>
      <c r="AA161" s="3" t="s">
        <v>35</v>
      </c>
      <c r="AB161" s="6" t="str">
        <f>HYPERLINK(_xlfn.CONCAT("https://www.google.com/maps/search/",Tabela1[[#This Row],[GPS]]),"##")</f>
        <v>##</v>
      </c>
      <c r="AC161" s="3" t="str">
        <f>_xlfn.CONCAT("https://raw.githubusercontent.com/marcelo-pascoal/Semaforos/refs/heads/main/fotosD/",Tabela1[[#This Row],[Foto1]])</f>
        <v>https://raw.githubusercontent.com/marcelo-pascoal/Semaforos/refs/heads/main/fotosD/DSCF7593.JPG</v>
      </c>
      <c r="AD161" s="3" t="str">
        <f>_xlfn.CONCAT("https://raw.githubusercontent.com/marcelo-pascoal/Semaforos/refs/heads/main/fotos/",Tabela1[[#This Row],[id_0]],".jpg")</f>
        <v>https://raw.githubusercontent.com/marcelo-pascoal/Semaforos/refs/heads/main/fotos/225.jpg</v>
      </c>
      <c r="AE161" s="3" t="str">
        <f>_xlfn.CONCAT("https://raw.githubusercontent.com/marcelo-pascoal/Semaforos/refs/heads/main/fotosD/",Tabela1[[#This Row],[id_0]],".jpg")</f>
        <v>https://raw.githubusercontent.com/marcelo-pascoal/Semaforos/refs/heads/main/fotosD/225.jpg</v>
      </c>
      <c r="AF161" s="3">
        <v>5</v>
      </c>
    </row>
    <row r="162" spans="1:32" ht="250" customHeight="1" x14ac:dyDescent="0.35">
      <c r="A162" s="2" t="s">
        <v>553</v>
      </c>
      <c r="B162" s="5">
        <v>226</v>
      </c>
      <c r="C162" s="2" t="s">
        <v>572</v>
      </c>
      <c r="D162" s="1" t="s">
        <v>31</v>
      </c>
      <c r="E162" s="2" t="s">
        <v>1147</v>
      </c>
      <c r="F162" s="2" t="s">
        <v>574</v>
      </c>
      <c r="G162" s="1" t="s">
        <v>1144</v>
      </c>
      <c r="H162" s="1" t="s">
        <v>31</v>
      </c>
      <c r="I162" s="1" t="s">
        <v>573</v>
      </c>
      <c r="J162" s="2" t="s">
        <v>556</v>
      </c>
      <c r="K162" s="2" t="s">
        <v>529</v>
      </c>
      <c r="L162" s="3"/>
      <c r="M162" s="3">
        <v>2</v>
      </c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 t="s">
        <v>35</v>
      </c>
      <c r="AB162" s="6" t="str">
        <f>HYPERLINK(_xlfn.CONCAT("https://www.google.com/maps/search/",Tabela1[[#This Row],[GPS]]),"##")</f>
        <v>##</v>
      </c>
      <c r="AC162" s="3" t="str">
        <f>_xlfn.CONCAT("https://raw.githubusercontent.com/marcelo-pascoal/Semaforos/refs/heads/main/fotosD/",Tabela1[[#This Row],[Foto1]])</f>
        <v>https://raw.githubusercontent.com/marcelo-pascoal/Semaforos/refs/heads/main/fotosD/DSCF7601.JPG</v>
      </c>
      <c r="AD162" s="3" t="str">
        <f>_xlfn.CONCAT("https://raw.githubusercontent.com/marcelo-pascoal/Semaforos/refs/heads/main/fotos/",Tabela1[[#This Row],[id_0]],".jpg")</f>
        <v>https://raw.githubusercontent.com/marcelo-pascoal/Semaforos/refs/heads/main/fotos/226.jpg</v>
      </c>
      <c r="AE162" s="3" t="str">
        <f>_xlfn.CONCAT("https://raw.githubusercontent.com/marcelo-pascoal/Semaforos/refs/heads/main/fotosD/",Tabela1[[#This Row],[id_0]],".jpg")</f>
        <v>https://raw.githubusercontent.com/marcelo-pascoal/Semaforos/refs/heads/main/fotosD/226.jpg</v>
      </c>
      <c r="AF162" s="3">
        <v>5</v>
      </c>
    </row>
    <row r="163" spans="1:32" ht="250" customHeight="1" x14ac:dyDescent="0.35">
      <c r="A163" s="2" t="s">
        <v>553</v>
      </c>
      <c r="B163" s="5">
        <v>473</v>
      </c>
      <c r="C163" s="2" t="s">
        <v>575</v>
      </c>
      <c r="D163" s="1" t="s">
        <v>38</v>
      </c>
      <c r="E163" s="2" t="s">
        <v>1147</v>
      </c>
      <c r="F163" s="2" t="s">
        <v>577</v>
      </c>
      <c r="G163" s="1" t="s">
        <v>1144</v>
      </c>
      <c r="H163" s="1" t="s">
        <v>1146</v>
      </c>
      <c r="I163" s="1" t="s">
        <v>576</v>
      </c>
      <c r="J163" s="2" t="s">
        <v>556</v>
      </c>
      <c r="K163" s="2" t="s">
        <v>529</v>
      </c>
      <c r="L163" s="3"/>
      <c r="M163" s="3"/>
      <c r="N163" s="3"/>
      <c r="O163" s="3"/>
      <c r="P163" s="3">
        <v>1</v>
      </c>
      <c r="Q163" s="3"/>
      <c r="R163" s="3"/>
      <c r="S163" s="3"/>
      <c r="T163" s="3"/>
      <c r="U163" s="3">
        <v>1</v>
      </c>
      <c r="V163" s="3">
        <v>1</v>
      </c>
      <c r="W163" s="3" t="s">
        <v>40</v>
      </c>
      <c r="X163" s="3" t="s">
        <v>40</v>
      </c>
      <c r="Y163" s="3"/>
      <c r="Z163" s="3"/>
      <c r="AA163" s="3" t="s">
        <v>35</v>
      </c>
      <c r="AB163" s="6" t="str">
        <f>HYPERLINK(_xlfn.CONCAT("https://www.google.com/maps/search/",Tabela1[[#This Row],[GPS]]),"##")</f>
        <v>##</v>
      </c>
      <c r="AC163" s="3" t="str">
        <f>_xlfn.CONCAT("https://raw.githubusercontent.com/marcelo-pascoal/Semaforos/refs/heads/main/fotosD/",Tabela1[[#This Row],[Foto1]])</f>
        <v>https://raw.githubusercontent.com/marcelo-pascoal/Semaforos/refs/heads/main/fotosD/DSCF7588.JPG</v>
      </c>
      <c r="AD163" s="3" t="str">
        <f>_xlfn.CONCAT("https://raw.githubusercontent.com/marcelo-pascoal/Semaforos/refs/heads/main/fotos/",Tabela1[[#This Row],[id_0]],".jpg")</f>
        <v>https://raw.githubusercontent.com/marcelo-pascoal/Semaforos/refs/heads/main/fotos/473.jpg</v>
      </c>
      <c r="AE163" s="3" t="str">
        <f>_xlfn.CONCAT("https://raw.githubusercontent.com/marcelo-pascoal/Semaforos/refs/heads/main/fotosD/",Tabela1[[#This Row],[id_0]],".jpg")</f>
        <v>https://raw.githubusercontent.com/marcelo-pascoal/Semaforos/refs/heads/main/fotosD/473.jpg</v>
      </c>
      <c r="AF163" s="3">
        <v>5</v>
      </c>
    </row>
    <row r="164" spans="1:32" ht="250" customHeight="1" x14ac:dyDescent="0.35">
      <c r="A164" s="2" t="s">
        <v>553</v>
      </c>
      <c r="B164" s="5">
        <v>474</v>
      </c>
      <c r="C164" s="2" t="s">
        <v>578</v>
      </c>
      <c r="D164" s="1" t="s">
        <v>38</v>
      </c>
      <c r="E164" s="2" t="s">
        <v>1147</v>
      </c>
      <c r="F164" s="2" t="s">
        <v>580</v>
      </c>
      <c r="G164" s="1" t="s">
        <v>1144</v>
      </c>
      <c r="H164" s="1" t="s">
        <v>1146</v>
      </c>
      <c r="I164" s="1" t="s">
        <v>579</v>
      </c>
      <c r="J164" s="2" t="s">
        <v>556</v>
      </c>
      <c r="K164" s="2" t="s">
        <v>529</v>
      </c>
      <c r="L164" s="3"/>
      <c r="M164" s="3"/>
      <c r="N164" s="3"/>
      <c r="O164" s="3"/>
      <c r="P164" s="3">
        <v>1</v>
      </c>
      <c r="Q164" s="3"/>
      <c r="R164" s="3"/>
      <c r="S164" s="3"/>
      <c r="T164" s="3"/>
      <c r="U164" s="3">
        <v>1</v>
      </c>
      <c r="V164" s="3">
        <v>1</v>
      </c>
      <c r="W164" s="3" t="s">
        <v>40</v>
      </c>
      <c r="X164" s="3" t="s">
        <v>40</v>
      </c>
      <c r="Y164" s="3"/>
      <c r="Z164" s="3"/>
      <c r="AA164" s="3" t="s">
        <v>35</v>
      </c>
      <c r="AB164" s="6" t="str">
        <f>HYPERLINK(_xlfn.CONCAT("https://www.google.com/maps/search/",Tabela1[[#This Row],[GPS]]),"##")</f>
        <v>##</v>
      </c>
      <c r="AC164" s="3" t="str">
        <f>_xlfn.CONCAT("https://raw.githubusercontent.com/marcelo-pascoal/Semaforos/refs/heads/main/fotosD/",Tabela1[[#This Row],[Foto1]])</f>
        <v>https://raw.githubusercontent.com/marcelo-pascoal/Semaforos/refs/heads/main/fotosD/DSCF7596.JPG</v>
      </c>
      <c r="AD164" s="3" t="str">
        <f>_xlfn.CONCAT("https://raw.githubusercontent.com/marcelo-pascoal/Semaforos/refs/heads/main/fotos/",Tabela1[[#This Row],[id_0]],".jpg")</f>
        <v>https://raw.githubusercontent.com/marcelo-pascoal/Semaforos/refs/heads/main/fotos/474.jpg</v>
      </c>
      <c r="AE164" s="3" t="str">
        <f>_xlfn.CONCAT("https://raw.githubusercontent.com/marcelo-pascoal/Semaforos/refs/heads/main/fotosD/",Tabela1[[#This Row],[id_0]],".jpg")</f>
        <v>https://raw.githubusercontent.com/marcelo-pascoal/Semaforos/refs/heads/main/fotosD/474.jpg</v>
      </c>
      <c r="AF164" s="3">
        <v>1</v>
      </c>
    </row>
    <row r="165" spans="1:32" ht="250" customHeight="1" x14ac:dyDescent="0.35">
      <c r="A165" s="2" t="s">
        <v>581</v>
      </c>
      <c r="B165" s="5">
        <v>217</v>
      </c>
      <c r="C165" s="2" t="s">
        <v>582</v>
      </c>
      <c r="D165" s="1" t="s">
        <v>31</v>
      </c>
      <c r="F165" s="2" t="s">
        <v>585</v>
      </c>
      <c r="G165" s="1" t="s">
        <v>1144</v>
      </c>
      <c r="H165" s="1" t="s">
        <v>31</v>
      </c>
      <c r="I165" s="1" t="s">
        <v>583</v>
      </c>
      <c r="J165" s="2" t="s">
        <v>584</v>
      </c>
      <c r="K165" s="2" t="s">
        <v>529</v>
      </c>
      <c r="L165" s="3"/>
      <c r="M165" s="3">
        <v>2</v>
      </c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 t="s">
        <v>35</v>
      </c>
      <c r="AB165" s="6" t="str">
        <f>HYPERLINK(_xlfn.CONCAT("https://www.google.com/maps/search/",Tabela1[[#This Row],[GPS]]),"##")</f>
        <v>##</v>
      </c>
      <c r="AC165" s="3" t="str">
        <f>_xlfn.CONCAT("https://raw.githubusercontent.com/marcelo-pascoal/Semaforos/refs/heads/main/fotosD/",Tabela1[[#This Row],[Foto1]])</f>
        <v>https://raw.githubusercontent.com/marcelo-pascoal/Semaforos/refs/heads/main/fotosD/DSCFLRA30.jpg</v>
      </c>
      <c r="AD165" s="3" t="str">
        <f>_xlfn.CONCAT("https://raw.githubusercontent.com/marcelo-pascoal/Semaforos/refs/heads/main/fotos/",Tabela1[[#This Row],[id_0]],".jpg")</f>
        <v>https://raw.githubusercontent.com/marcelo-pascoal/Semaforos/refs/heads/main/fotos/217.jpg</v>
      </c>
      <c r="AE165" s="3" t="str">
        <f>_xlfn.CONCAT("https://raw.githubusercontent.com/marcelo-pascoal/Semaforos/refs/heads/main/fotosD/",Tabela1[[#This Row],[id_0]],".jpg")</f>
        <v>https://raw.githubusercontent.com/marcelo-pascoal/Semaforos/refs/heads/main/fotosD/217.jpg</v>
      </c>
      <c r="AF165" s="3">
        <v>3</v>
      </c>
    </row>
    <row r="166" spans="1:32" ht="250" customHeight="1" x14ac:dyDescent="0.35">
      <c r="A166" s="2" t="s">
        <v>581</v>
      </c>
      <c r="B166" s="5">
        <v>218</v>
      </c>
      <c r="C166" s="2" t="s">
        <v>586</v>
      </c>
      <c r="D166" s="1" t="s">
        <v>38</v>
      </c>
      <c r="E166" s="2" t="s">
        <v>1147</v>
      </c>
      <c r="F166" s="2" t="s">
        <v>588</v>
      </c>
      <c r="G166" s="1" t="s">
        <v>1144</v>
      </c>
      <c r="H166" s="1" t="s">
        <v>1146</v>
      </c>
      <c r="I166" s="1" t="s">
        <v>587</v>
      </c>
      <c r="J166" s="2" t="s">
        <v>584</v>
      </c>
      <c r="K166" s="2" t="s">
        <v>529</v>
      </c>
      <c r="L166" s="3"/>
      <c r="M166" s="3"/>
      <c r="N166" s="3"/>
      <c r="O166" s="3">
        <v>1</v>
      </c>
      <c r="P166" s="3">
        <v>1</v>
      </c>
      <c r="Q166" s="3">
        <v>1</v>
      </c>
      <c r="R166" s="3">
        <v>1</v>
      </c>
      <c r="S166" s="3">
        <v>1</v>
      </c>
      <c r="T166" s="3">
        <v>1</v>
      </c>
      <c r="U166" s="3">
        <v>1</v>
      </c>
      <c r="V166" s="3">
        <v>1</v>
      </c>
      <c r="W166" s="3" t="s">
        <v>40</v>
      </c>
      <c r="X166" s="3" t="s">
        <v>40</v>
      </c>
      <c r="Y166" s="3"/>
      <c r="Z166" s="3"/>
      <c r="AA166" s="3" t="s">
        <v>35</v>
      </c>
      <c r="AB166" s="6" t="str">
        <f>HYPERLINK(_xlfn.CONCAT("https://www.google.com/maps/search/",Tabela1[[#This Row],[GPS]]),"##")</f>
        <v>##</v>
      </c>
      <c r="AC166" s="3" t="str">
        <f>_xlfn.CONCAT("https://raw.githubusercontent.com/marcelo-pascoal/Semaforos/refs/heads/main/fotosD/",Tabela1[[#This Row],[Foto1]])</f>
        <v>https://raw.githubusercontent.com/marcelo-pascoal/Semaforos/refs/heads/main/fotosD/DSCF7308.JPG</v>
      </c>
      <c r="AD166" s="3" t="str">
        <f>_xlfn.CONCAT("https://raw.githubusercontent.com/marcelo-pascoal/Semaforos/refs/heads/main/fotos/",Tabela1[[#This Row],[id_0]],".jpg")</f>
        <v>https://raw.githubusercontent.com/marcelo-pascoal/Semaforos/refs/heads/main/fotos/218.jpg</v>
      </c>
      <c r="AE166" s="3" t="str">
        <f>_xlfn.CONCAT("https://raw.githubusercontent.com/marcelo-pascoal/Semaforos/refs/heads/main/fotosD/",Tabela1[[#This Row],[id_0]],".jpg")</f>
        <v>https://raw.githubusercontent.com/marcelo-pascoal/Semaforos/refs/heads/main/fotosD/218.jpg</v>
      </c>
      <c r="AF166" s="3">
        <v>3</v>
      </c>
    </row>
    <row r="167" spans="1:32" ht="250" customHeight="1" x14ac:dyDescent="0.35">
      <c r="A167" s="2" t="s">
        <v>581</v>
      </c>
      <c r="B167" s="5">
        <v>219</v>
      </c>
      <c r="C167" s="2" t="s">
        <v>589</v>
      </c>
      <c r="D167" s="1" t="s">
        <v>60</v>
      </c>
      <c r="E167" s="2" t="s">
        <v>1147</v>
      </c>
      <c r="F167" s="2" t="s">
        <v>591</v>
      </c>
      <c r="G167" s="1" t="s">
        <v>1145</v>
      </c>
      <c r="H167" s="1" t="s">
        <v>1146</v>
      </c>
      <c r="I167" s="1" t="s">
        <v>590</v>
      </c>
      <c r="J167" s="2" t="s">
        <v>584</v>
      </c>
      <c r="K167" s="2" t="s">
        <v>529</v>
      </c>
      <c r="L167" s="3">
        <v>2</v>
      </c>
      <c r="M167" s="3"/>
      <c r="N167" s="3"/>
      <c r="O167" s="3">
        <v>1</v>
      </c>
      <c r="P167" s="3">
        <v>3</v>
      </c>
      <c r="Q167" s="3">
        <v>3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 t="s">
        <v>40</v>
      </c>
      <c r="X167" s="3" t="s">
        <v>40</v>
      </c>
      <c r="Y167" s="3"/>
      <c r="Z167" s="3"/>
      <c r="AA167" s="3" t="s">
        <v>35</v>
      </c>
      <c r="AB167" s="6" t="str">
        <f>HYPERLINK(_xlfn.CONCAT("https://www.google.com/maps/search/",Tabela1[[#This Row],[GPS]]),"##")</f>
        <v>##</v>
      </c>
      <c r="AC167" s="3" t="str">
        <f>_xlfn.CONCAT("https://raw.githubusercontent.com/marcelo-pascoal/Semaforos/refs/heads/main/fotosD/",Tabela1[[#This Row],[Foto1]])</f>
        <v>https://raw.githubusercontent.com/marcelo-pascoal/Semaforos/refs/heads/main/fotosD/DSCF7304.JPG</v>
      </c>
      <c r="AD167" s="3" t="str">
        <f>_xlfn.CONCAT("https://raw.githubusercontent.com/marcelo-pascoal/Semaforos/refs/heads/main/fotos/",Tabela1[[#This Row],[id_0]],".jpg")</f>
        <v>https://raw.githubusercontent.com/marcelo-pascoal/Semaforos/refs/heads/main/fotos/219.jpg</v>
      </c>
      <c r="AE167" s="3" t="str">
        <f>_xlfn.CONCAT("https://raw.githubusercontent.com/marcelo-pascoal/Semaforos/refs/heads/main/fotosD/",Tabela1[[#This Row],[id_0]],".jpg")</f>
        <v>https://raw.githubusercontent.com/marcelo-pascoal/Semaforos/refs/heads/main/fotosD/219.jpg</v>
      </c>
      <c r="AF167" s="3">
        <v>3</v>
      </c>
    </row>
    <row r="168" spans="1:32" ht="250" customHeight="1" x14ac:dyDescent="0.35">
      <c r="A168" s="2" t="s">
        <v>581</v>
      </c>
      <c r="B168" s="5">
        <v>220</v>
      </c>
      <c r="C168" s="2" t="s">
        <v>592</v>
      </c>
      <c r="D168" s="1" t="s">
        <v>31</v>
      </c>
      <c r="E168" s="2" t="s">
        <v>1147</v>
      </c>
      <c r="F168" s="2" t="s">
        <v>594</v>
      </c>
      <c r="G168" s="1" t="s">
        <v>1144</v>
      </c>
      <c r="H168" s="1" t="s">
        <v>31</v>
      </c>
      <c r="I168" s="1" t="s">
        <v>593</v>
      </c>
      <c r="J168" s="2" t="s">
        <v>584</v>
      </c>
      <c r="K168" s="2" t="s">
        <v>529</v>
      </c>
      <c r="L168" s="3"/>
      <c r="M168" s="3">
        <v>2</v>
      </c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 t="s">
        <v>35</v>
      </c>
      <c r="AB168" s="6" t="str">
        <f>HYPERLINK(_xlfn.CONCAT("https://www.google.com/maps/search/",Tabela1[[#This Row],[GPS]]),"##")</f>
        <v>##</v>
      </c>
      <c r="AC168" s="3" t="str">
        <f>_xlfn.CONCAT("https://raw.githubusercontent.com/marcelo-pascoal/Semaforos/refs/heads/main/fotosD/",Tabela1[[#This Row],[Foto1]])</f>
        <v>https://raw.githubusercontent.com/marcelo-pascoal/Semaforos/refs/heads/main/fotosD/DSCF7303.JPG</v>
      </c>
      <c r="AD168" s="3" t="str">
        <f>_xlfn.CONCAT("https://raw.githubusercontent.com/marcelo-pascoal/Semaforos/refs/heads/main/fotos/",Tabela1[[#This Row],[id_0]],".jpg")</f>
        <v>https://raw.githubusercontent.com/marcelo-pascoal/Semaforos/refs/heads/main/fotos/220.jpg</v>
      </c>
      <c r="AE168" s="3" t="str">
        <f>_xlfn.CONCAT("https://raw.githubusercontent.com/marcelo-pascoal/Semaforos/refs/heads/main/fotosD/",Tabela1[[#This Row],[id_0]],".jpg")</f>
        <v>https://raw.githubusercontent.com/marcelo-pascoal/Semaforos/refs/heads/main/fotosD/220.jpg</v>
      </c>
      <c r="AF168" s="3">
        <v>3</v>
      </c>
    </row>
    <row r="169" spans="1:32" ht="250" customHeight="1" x14ac:dyDescent="0.35">
      <c r="A169" s="2" t="s">
        <v>595</v>
      </c>
      <c r="B169" s="5">
        <v>248</v>
      </c>
      <c r="C169" s="2" t="s">
        <v>596</v>
      </c>
      <c r="D169" s="1" t="s">
        <v>31</v>
      </c>
      <c r="E169" s="2" t="s">
        <v>1147</v>
      </c>
      <c r="F169" s="2" t="s">
        <v>599</v>
      </c>
      <c r="G169" s="1" t="s">
        <v>1144</v>
      </c>
      <c r="H169" s="1" t="s">
        <v>31</v>
      </c>
      <c r="I169" s="1" t="s">
        <v>597</v>
      </c>
      <c r="J169" s="2" t="s">
        <v>598</v>
      </c>
      <c r="K169" s="2" t="s">
        <v>34</v>
      </c>
      <c r="L169" s="3"/>
      <c r="M169" s="3"/>
      <c r="N169" s="3"/>
      <c r="O169" s="3"/>
      <c r="P169" s="3">
        <v>2</v>
      </c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 t="s">
        <v>35</v>
      </c>
      <c r="AB169" s="6" t="str">
        <f>HYPERLINK(_xlfn.CONCAT("https://www.google.com/maps/search/",Tabela1[[#This Row],[GPS]]),"##")</f>
        <v>##</v>
      </c>
      <c r="AC169" s="3" t="str">
        <f>_xlfn.CONCAT("https://raw.githubusercontent.com/marcelo-pascoal/Semaforos/refs/heads/main/fotosD/",Tabela1[[#This Row],[Foto1]])</f>
        <v>https://raw.githubusercontent.com/marcelo-pascoal/Semaforos/refs/heads/main/fotosD/DSCF7369.JPG</v>
      </c>
      <c r="AD169" s="3" t="str">
        <f>_xlfn.CONCAT("https://raw.githubusercontent.com/marcelo-pascoal/Semaforos/refs/heads/main/fotos/",Tabela1[[#This Row],[id_0]],".jpg")</f>
        <v>https://raw.githubusercontent.com/marcelo-pascoal/Semaforos/refs/heads/main/fotos/248.jpg</v>
      </c>
      <c r="AE169" s="3" t="str">
        <f>_xlfn.CONCAT("https://raw.githubusercontent.com/marcelo-pascoal/Semaforos/refs/heads/main/fotosD/",Tabela1[[#This Row],[id_0]],".jpg")</f>
        <v>https://raw.githubusercontent.com/marcelo-pascoal/Semaforos/refs/heads/main/fotosD/248.jpg</v>
      </c>
      <c r="AF169" s="3">
        <v>1</v>
      </c>
    </row>
    <row r="170" spans="1:32" ht="250" customHeight="1" x14ac:dyDescent="0.35">
      <c r="A170" s="2" t="s">
        <v>595</v>
      </c>
      <c r="B170" s="5">
        <v>249</v>
      </c>
      <c r="C170" s="2" t="s">
        <v>600</v>
      </c>
      <c r="D170" s="1" t="s">
        <v>60</v>
      </c>
      <c r="E170" s="2" t="s">
        <v>1147</v>
      </c>
      <c r="F170" s="2" t="s">
        <v>603</v>
      </c>
      <c r="G170" s="1" t="s">
        <v>1145</v>
      </c>
      <c r="H170" s="1" t="s">
        <v>1146</v>
      </c>
      <c r="I170" s="1" t="s">
        <v>601</v>
      </c>
      <c r="J170" s="2" t="s">
        <v>602</v>
      </c>
      <c r="K170" s="2" t="s">
        <v>34</v>
      </c>
      <c r="L170" s="3"/>
      <c r="M170" s="3"/>
      <c r="N170" s="3"/>
      <c r="O170" s="3">
        <v>2</v>
      </c>
      <c r="P170" s="3">
        <v>2</v>
      </c>
      <c r="Q170" s="3">
        <v>2</v>
      </c>
      <c r="R170" s="3">
        <v>1</v>
      </c>
      <c r="S170" s="3">
        <v>1</v>
      </c>
      <c r="T170" s="3">
        <v>1</v>
      </c>
      <c r="U170" s="3"/>
      <c r="V170" s="3"/>
      <c r="W170" s="3"/>
      <c r="X170" s="3"/>
      <c r="Y170" s="3"/>
      <c r="Z170" s="3"/>
      <c r="AA170" s="3" t="s">
        <v>35</v>
      </c>
      <c r="AB170" s="6" t="str">
        <f>HYPERLINK(_xlfn.CONCAT("https://www.google.com/maps/search/",Tabela1[[#This Row],[GPS]]),"##")</f>
        <v>##</v>
      </c>
      <c r="AC170" s="3" t="str">
        <f>_xlfn.CONCAT("https://raw.githubusercontent.com/marcelo-pascoal/Semaforos/refs/heads/main/fotosD/",Tabela1[[#This Row],[Foto1]])</f>
        <v>https://raw.githubusercontent.com/marcelo-pascoal/Semaforos/refs/heads/main/fotosD/DSCF7352.JPG</v>
      </c>
      <c r="AD170" s="3" t="str">
        <f>_xlfn.CONCAT("https://raw.githubusercontent.com/marcelo-pascoal/Semaforos/refs/heads/main/fotos/",Tabela1[[#This Row],[id_0]],".jpg")</f>
        <v>https://raw.githubusercontent.com/marcelo-pascoal/Semaforos/refs/heads/main/fotos/249.jpg</v>
      </c>
      <c r="AE170" s="3" t="str">
        <f>_xlfn.CONCAT("https://raw.githubusercontent.com/marcelo-pascoal/Semaforos/refs/heads/main/fotosD/",Tabela1[[#This Row],[id_0]],".jpg")</f>
        <v>https://raw.githubusercontent.com/marcelo-pascoal/Semaforos/refs/heads/main/fotosD/249.jpg</v>
      </c>
      <c r="AF170" s="3">
        <v>1</v>
      </c>
    </row>
    <row r="171" spans="1:32" ht="250" customHeight="1" x14ac:dyDescent="0.35">
      <c r="A171" s="2" t="s">
        <v>595</v>
      </c>
      <c r="B171" s="5">
        <v>250</v>
      </c>
      <c r="C171" s="2" t="s">
        <v>604</v>
      </c>
      <c r="D171" s="1" t="s">
        <v>38</v>
      </c>
      <c r="E171" s="2" t="s">
        <v>1147</v>
      </c>
      <c r="F171" s="2" t="s">
        <v>607</v>
      </c>
      <c r="G171" s="1" t="s">
        <v>1144</v>
      </c>
      <c r="H171" s="1" t="s">
        <v>1146</v>
      </c>
      <c r="I171" s="1" t="s">
        <v>605</v>
      </c>
      <c r="J171" s="2" t="s">
        <v>606</v>
      </c>
      <c r="K171" s="2" t="s">
        <v>34</v>
      </c>
      <c r="L171" s="3"/>
      <c r="M171" s="3"/>
      <c r="N171" s="3"/>
      <c r="O171" s="3"/>
      <c r="P171" s="3">
        <v>1</v>
      </c>
      <c r="Q171" s="3">
        <v>1</v>
      </c>
      <c r="R171" s="3">
        <v>1</v>
      </c>
      <c r="S171" s="3">
        <v>1</v>
      </c>
      <c r="T171" s="3">
        <v>1</v>
      </c>
      <c r="U171" s="3">
        <v>1</v>
      </c>
      <c r="V171" s="3"/>
      <c r="W171" s="3"/>
      <c r="X171" s="3"/>
      <c r="Y171" s="3"/>
      <c r="Z171" s="3"/>
      <c r="AA171" s="3" t="s">
        <v>35</v>
      </c>
      <c r="AB171" s="6" t="str">
        <f>HYPERLINK(_xlfn.CONCAT("https://www.google.com/maps/search/",Tabela1[[#This Row],[GPS]]),"##")</f>
        <v>##</v>
      </c>
      <c r="AC171" s="3" t="str">
        <f>_xlfn.CONCAT("https://raw.githubusercontent.com/marcelo-pascoal/Semaforos/refs/heads/main/fotosD/",Tabela1[[#This Row],[Foto1]])</f>
        <v>https://raw.githubusercontent.com/marcelo-pascoal/Semaforos/refs/heads/main/fotosD/DSCF7355.JPG</v>
      </c>
      <c r="AD171" s="3" t="str">
        <f>_xlfn.CONCAT("https://raw.githubusercontent.com/marcelo-pascoal/Semaforos/refs/heads/main/fotos/",Tabela1[[#This Row],[id_0]],".jpg")</f>
        <v>https://raw.githubusercontent.com/marcelo-pascoal/Semaforos/refs/heads/main/fotos/250.jpg</v>
      </c>
      <c r="AE171" s="3" t="str">
        <f>_xlfn.CONCAT("https://raw.githubusercontent.com/marcelo-pascoal/Semaforos/refs/heads/main/fotosD/",Tabela1[[#This Row],[id_0]],".jpg")</f>
        <v>https://raw.githubusercontent.com/marcelo-pascoal/Semaforos/refs/heads/main/fotosD/250.jpg</v>
      </c>
      <c r="AF171" s="3">
        <v>1</v>
      </c>
    </row>
    <row r="172" spans="1:32" ht="250" customHeight="1" x14ac:dyDescent="0.35">
      <c r="A172" s="2" t="s">
        <v>595</v>
      </c>
      <c r="B172" s="5">
        <v>251</v>
      </c>
      <c r="C172" s="2" t="s">
        <v>608</v>
      </c>
      <c r="D172" s="1" t="s">
        <v>60</v>
      </c>
      <c r="E172" s="2" t="s">
        <v>1147</v>
      </c>
      <c r="F172" s="2" t="s">
        <v>610</v>
      </c>
      <c r="G172" s="1" t="s">
        <v>1145</v>
      </c>
      <c r="H172" s="1" t="s">
        <v>1146</v>
      </c>
      <c r="I172" s="1" t="s">
        <v>609</v>
      </c>
      <c r="J172" s="2" t="s">
        <v>602</v>
      </c>
      <c r="K172" s="2" t="s">
        <v>34</v>
      </c>
      <c r="L172" s="3">
        <v>1</v>
      </c>
      <c r="M172" s="3"/>
      <c r="N172" s="3"/>
      <c r="O172" s="3">
        <v>1</v>
      </c>
      <c r="P172" s="3">
        <v>3</v>
      </c>
      <c r="Q172" s="3">
        <v>2</v>
      </c>
      <c r="R172" s="3">
        <v>1</v>
      </c>
      <c r="S172" s="3">
        <v>1</v>
      </c>
      <c r="T172" s="3">
        <v>1</v>
      </c>
      <c r="U172" s="3">
        <v>1</v>
      </c>
      <c r="V172" s="3">
        <v>1</v>
      </c>
      <c r="W172" s="3" t="s">
        <v>40</v>
      </c>
      <c r="X172" s="3" t="s">
        <v>40</v>
      </c>
      <c r="Y172" s="3"/>
      <c r="Z172" s="3"/>
      <c r="AA172" s="3" t="s">
        <v>35</v>
      </c>
      <c r="AB172" s="6" t="str">
        <f>HYPERLINK(_xlfn.CONCAT("https://www.google.com/maps/search/",Tabela1[[#This Row],[GPS]]),"##")</f>
        <v>##</v>
      </c>
      <c r="AC172" s="3" t="str">
        <f>_xlfn.CONCAT("https://raw.githubusercontent.com/marcelo-pascoal/Semaforos/refs/heads/main/fotosD/",Tabela1[[#This Row],[Foto1]])</f>
        <v>https://raw.githubusercontent.com/marcelo-pascoal/Semaforos/refs/heads/main/fotosD/DSCF7359.JPG</v>
      </c>
      <c r="AD172" s="3" t="str">
        <f>_xlfn.CONCAT("https://raw.githubusercontent.com/marcelo-pascoal/Semaforos/refs/heads/main/fotos/",Tabela1[[#This Row],[id_0]],".jpg")</f>
        <v>https://raw.githubusercontent.com/marcelo-pascoal/Semaforos/refs/heads/main/fotos/251.jpg</v>
      </c>
      <c r="AE172" s="3" t="str">
        <f>_xlfn.CONCAT("https://raw.githubusercontent.com/marcelo-pascoal/Semaforos/refs/heads/main/fotosD/",Tabela1[[#This Row],[id_0]],".jpg")</f>
        <v>https://raw.githubusercontent.com/marcelo-pascoal/Semaforos/refs/heads/main/fotosD/251.jpg</v>
      </c>
      <c r="AF172" s="3">
        <v>1</v>
      </c>
    </row>
    <row r="173" spans="1:32" ht="250" customHeight="1" x14ac:dyDescent="0.35">
      <c r="A173" s="2" t="s">
        <v>595</v>
      </c>
      <c r="B173" s="5">
        <v>252</v>
      </c>
      <c r="C173" s="2" t="s">
        <v>611</v>
      </c>
      <c r="D173" s="1" t="s">
        <v>31</v>
      </c>
      <c r="E173" s="2" t="s">
        <v>1147</v>
      </c>
      <c r="F173" s="2" t="s">
        <v>613</v>
      </c>
      <c r="G173" s="1" t="s">
        <v>1144</v>
      </c>
      <c r="H173" s="1" t="s">
        <v>31</v>
      </c>
      <c r="I173" s="1" t="s">
        <v>612</v>
      </c>
      <c r="J173" s="2" t="s">
        <v>602</v>
      </c>
      <c r="K173" s="2" t="s">
        <v>34</v>
      </c>
      <c r="L173" s="3"/>
      <c r="M173" s="3">
        <v>2</v>
      </c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 t="s">
        <v>35</v>
      </c>
      <c r="AB173" s="6" t="str">
        <f>HYPERLINK(_xlfn.CONCAT("https://www.google.com/maps/search/",Tabela1[[#This Row],[GPS]]),"##")</f>
        <v>##</v>
      </c>
      <c r="AC173" s="3" t="str">
        <f>_xlfn.CONCAT("https://raw.githubusercontent.com/marcelo-pascoal/Semaforos/refs/heads/main/fotosD/",Tabela1[[#This Row],[Foto1]])</f>
        <v>https://raw.githubusercontent.com/marcelo-pascoal/Semaforos/refs/heads/main/fotosD/DSCF7350.JPG</v>
      </c>
      <c r="AD173" s="3" t="str">
        <f>_xlfn.CONCAT("https://raw.githubusercontent.com/marcelo-pascoal/Semaforos/refs/heads/main/fotos/",Tabela1[[#This Row],[id_0]],".jpg")</f>
        <v>https://raw.githubusercontent.com/marcelo-pascoal/Semaforos/refs/heads/main/fotos/252.jpg</v>
      </c>
      <c r="AE173" s="8" t="str">
        <f>_xlfn.CONCAT("https://raw.githubusercontent.com/marcelo-pascoal/Semaforos/refs/heads/main/fotosD/",Tabela1[[#This Row],[id_0]],".jpg")</f>
        <v>https://raw.githubusercontent.com/marcelo-pascoal/Semaforos/refs/heads/main/fotosD/252.jpg</v>
      </c>
      <c r="AF173" s="3"/>
    </row>
    <row r="174" spans="1:32" ht="250" customHeight="1" x14ac:dyDescent="0.35">
      <c r="A174" s="2" t="s">
        <v>595</v>
      </c>
      <c r="B174" s="5">
        <v>458</v>
      </c>
      <c r="C174" s="2" t="s">
        <v>614</v>
      </c>
      <c r="D174" s="1" t="s">
        <v>38</v>
      </c>
      <c r="E174" s="2" t="s">
        <v>1147</v>
      </c>
      <c r="F174" s="2" t="s">
        <v>616</v>
      </c>
      <c r="G174" s="1" t="s">
        <v>1144</v>
      </c>
      <c r="H174" s="1" t="s">
        <v>1146</v>
      </c>
      <c r="I174" s="1" t="s">
        <v>615</v>
      </c>
      <c r="J174" s="2" t="s">
        <v>602</v>
      </c>
      <c r="K174" s="2" t="s">
        <v>34</v>
      </c>
      <c r="L174" s="3"/>
      <c r="M174" s="3"/>
      <c r="N174" s="3"/>
      <c r="O174" s="3"/>
      <c r="P174" s="3">
        <v>1</v>
      </c>
      <c r="Q174" s="3"/>
      <c r="R174" s="3"/>
      <c r="S174" s="3"/>
      <c r="T174" s="3"/>
      <c r="U174" s="3">
        <v>1</v>
      </c>
      <c r="V174" s="3">
        <v>1</v>
      </c>
      <c r="W174" s="3" t="s">
        <v>40</v>
      </c>
      <c r="X174" s="3" t="s">
        <v>40</v>
      </c>
      <c r="Y174" s="3"/>
      <c r="Z174" s="3"/>
      <c r="AA174" s="3" t="s">
        <v>35</v>
      </c>
      <c r="AB174" s="6" t="str">
        <f>HYPERLINK(_xlfn.CONCAT("https://www.google.com/maps/search/",Tabela1[[#This Row],[GPS]]),"##")</f>
        <v>##</v>
      </c>
      <c r="AC174" s="3" t="str">
        <f>_xlfn.CONCAT("https://raw.githubusercontent.com/marcelo-pascoal/Semaforos/refs/heads/main/fotosD/",Tabela1[[#This Row],[Foto1]])</f>
        <v>https://raw.githubusercontent.com/marcelo-pascoal/Semaforos/refs/heads/main/fotosD/DSCF7357.JPG</v>
      </c>
      <c r="AD174" s="3" t="str">
        <f>_xlfn.CONCAT("https://raw.githubusercontent.com/marcelo-pascoal/Semaforos/refs/heads/main/fotos/",Tabela1[[#This Row],[id_0]],".jpg")</f>
        <v>https://raw.githubusercontent.com/marcelo-pascoal/Semaforos/refs/heads/main/fotos/458.jpg</v>
      </c>
      <c r="AE174" s="3" t="str">
        <f>_xlfn.CONCAT("https://raw.githubusercontent.com/marcelo-pascoal/Semaforos/refs/heads/main/fotosD/",Tabela1[[#This Row],[id_0]],".jpg")</f>
        <v>https://raw.githubusercontent.com/marcelo-pascoal/Semaforos/refs/heads/main/fotosD/458.jpg</v>
      </c>
      <c r="AF174" s="3">
        <v>1</v>
      </c>
    </row>
    <row r="175" spans="1:32" ht="250" customHeight="1" x14ac:dyDescent="0.35">
      <c r="A175" s="2" t="s">
        <v>595</v>
      </c>
      <c r="B175" s="5">
        <v>459</v>
      </c>
      <c r="C175" s="2" t="s">
        <v>617</v>
      </c>
      <c r="D175" s="1" t="s">
        <v>38</v>
      </c>
      <c r="E175" s="2" t="s">
        <v>1147</v>
      </c>
      <c r="F175" s="2" t="s">
        <v>619</v>
      </c>
      <c r="G175" s="1" t="s">
        <v>1144</v>
      </c>
      <c r="H175" s="1" t="s">
        <v>1146</v>
      </c>
      <c r="I175" s="1" t="s">
        <v>618</v>
      </c>
      <c r="J175" s="2" t="s">
        <v>606</v>
      </c>
      <c r="K175" s="2" t="s">
        <v>34</v>
      </c>
      <c r="L175" s="3"/>
      <c r="M175" s="3"/>
      <c r="N175" s="3"/>
      <c r="O175" s="3"/>
      <c r="P175" s="3">
        <v>1</v>
      </c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 t="s">
        <v>35</v>
      </c>
      <c r="AB175" s="6" t="str">
        <f>HYPERLINK(_xlfn.CONCAT("https://www.google.com/maps/search/",Tabela1[[#This Row],[GPS]]),"##")</f>
        <v>##</v>
      </c>
      <c r="AC175" s="3" t="str">
        <f>_xlfn.CONCAT("https://raw.githubusercontent.com/marcelo-pascoal/Semaforos/refs/heads/main/fotosD/",Tabela1[[#This Row],[Foto1]])</f>
        <v>https://raw.githubusercontent.com/marcelo-pascoal/Semaforos/refs/heads/main/fotosD/sshot-10.jpg</v>
      </c>
      <c r="AD175" s="3" t="str">
        <f>_xlfn.CONCAT("https://raw.githubusercontent.com/marcelo-pascoal/Semaforos/refs/heads/main/fotos/",Tabela1[[#This Row],[id_0]],".jpg")</f>
        <v>https://raw.githubusercontent.com/marcelo-pascoal/Semaforos/refs/heads/main/fotos/459.jpg</v>
      </c>
      <c r="AE175" s="3" t="str">
        <f>_xlfn.CONCAT("https://raw.githubusercontent.com/marcelo-pascoal/Semaforos/refs/heads/main/fotosD/",Tabela1[[#This Row],[id_0]],".jpg")</f>
        <v>https://raw.githubusercontent.com/marcelo-pascoal/Semaforos/refs/heads/main/fotosD/459.jpg</v>
      </c>
      <c r="AF175" s="3">
        <v>1</v>
      </c>
    </row>
    <row r="176" spans="1:32" ht="250" customHeight="1" x14ac:dyDescent="0.35">
      <c r="A176" s="2" t="s">
        <v>620</v>
      </c>
      <c r="B176" s="5">
        <v>243</v>
      </c>
      <c r="C176" s="2" t="s">
        <v>621</v>
      </c>
      <c r="D176" s="1" t="s">
        <v>60</v>
      </c>
      <c r="E176" s="2" t="s">
        <v>1147</v>
      </c>
      <c r="F176" s="2" t="s">
        <v>623</v>
      </c>
      <c r="G176" s="1" t="s">
        <v>1145</v>
      </c>
      <c r="H176" s="1" t="s">
        <v>1146</v>
      </c>
      <c r="I176" s="1" t="s">
        <v>622</v>
      </c>
      <c r="J176" s="2" t="s">
        <v>598</v>
      </c>
      <c r="K176" s="2" t="s">
        <v>34</v>
      </c>
      <c r="L176" s="3">
        <v>1</v>
      </c>
      <c r="M176" s="3"/>
      <c r="N176" s="3"/>
      <c r="O176" s="3">
        <v>1</v>
      </c>
      <c r="P176" s="3">
        <v>3</v>
      </c>
      <c r="Q176" s="3">
        <v>2</v>
      </c>
      <c r="R176" s="3">
        <v>1</v>
      </c>
      <c r="S176" s="3">
        <v>1</v>
      </c>
      <c r="T176" s="3">
        <v>1</v>
      </c>
      <c r="U176" s="3"/>
      <c r="V176" s="3"/>
      <c r="W176" s="3"/>
      <c r="X176" s="3"/>
      <c r="Y176" s="3"/>
      <c r="Z176" s="3"/>
      <c r="AA176" s="3" t="s">
        <v>35</v>
      </c>
      <c r="AB176" s="6" t="str">
        <f>HYPERLINK(_xlfn.CONCAT("https://www.google.com/maps/search/",Tabela1[[#This Row],[GPS]]),"##")</f>
        <v>##</v>
      </c>
      <c r="AC176" s="3" t="str">
        <f>_xlfn.CONCAT("https://raw.githubusercontent.com/marcelo-pascoal/Semaforos/refs/heads/main/fotosD/",Tabela1[[#This Row],[Foto1]])</f>
        <v>https://raw.githubusercontent.com/marcelo-pascoal/Semaforos/refs/heads/main/fotosD/DSCF7375.JPG</v>
      </c>
      <c r="AD176" s="3" t="str">
        <f>_xlfn.CONCAT("https://raw.githubusercontent.com/marcelo-pascoal/Semaforos/refs/heads/main/fotos/",Tabela1[[#This Row],[id_0]],".jpg")</f>
        <v>https://raw.githubusercontent.com/marcelo-pascoal/Semaforos/refs/heads/main/fotos/243.jpg</v>
      </c>
      <c r="AE176" s="3" t="str">
        <f>_xlfn.CONCAT("https://raw.githubusercontent.com/marcelo-pascoal/Semaforos/refs/heads/main/fotosD/",Tabela1[[#This Row],[id_0]],".jpg")</f>
        <v>https://raw.githubusercontent.com/marcelo-pascoal/Semaforos/refs/heads/main/fotosD/243.jpg</v>
      </c>
      <c r="AF176" s="3">
        <v>1</v>
      </c>
    </row>
    <row r="177" spans="1:32" ht="250" customHeight="1" x14ac:dyDescent="0.35">
      <c r="A177" s="2" t="s">
        <v>620</v>
      </c>
      <c r="B177" s="5">
        <v>244</v>
      </c>
      <c r="C177" s="2" t="s">
        <v>624</v>
      </c>
      <c r="D177" s="1" t="s">
        <v>60</v>
      </c>
      <c r="E177" s="2" t="s">
        <v>1147</v>
      </c>
      <c r="F177" s="2" t="s">
        <v>626</v>
      </c>
      <c r="G177" s="1" t="s">
        <v>1145</v>
      </c>
      <c r="H177" s="1" t="s">
        <v>1146</v>
      </c>
      <c r="I177" s="1" t="s">
        <v>625</v>
      </c>
      <c r="J177" s="2" t="s">
        <v>598</v>
      </c>
      <c r="K177" s="2" t="s">
        <v>34</v>
      </c>
      <c r="L177" s="3"/>
      <c r="M177" s="3">
        <v>1</v>
      </c>
      <c r="N177" s="3"/>
      <c r="O177" s="3"/>
      <c r="P177" s="3">
        <v>3</v>
      </c>
      <c r="Q177" s="3">
        <v>2</v>
      </c>
      <c r="R177" s="3">
        <v>1</v>
      </c>
      <c r="S177" s="3">
        <v>1</v>
      </c>
      <c r="T177" s="3">
        <v>1</v>
      </c>
      <c r="U177" s="3">
        <v>1</v>
      </c>
      <c r="V177" s="3">
        <v>1</v>
      </c>
      <c r="W177" s="3" t="s">
        <v>40</v>
      </c>
      <c r="X177" s="3" t="s">
        <v>40</v>
      </c>
      <c r="Y177" s="3"/>
      <c r="Z177" s="3"/>
      <c r="AA177" s="3" t="s">
        <v>35</v>
      </c>
      <c r="AB177" s="6" t="str">
        <f>HYPERLINK(_xlfn.CONCAT("https://www.google.com/maps/search/",Tabela1[[#This Row],[GPS]]),"##")</f>
        <v>##</v>
      </c>
      <c r="AC177" s="3" t="str">
        <f>_xlfn.CONCAT("https://raw.githubusercontent.com/marcelo-pascoal/Semaforos/refs/heads/main/fotosD/",Tabela1[[#This Row],[Foto1]])</f>
        <v>https://raw.githubusercontent.com/marcelo-pascoal/Semaforos/refs/heads/main/fotosD/DSCF7383.JPG</v>
      </c>
      <c r="AD177" s="3" t="str">
        <f>_xlfn.CONCAT("https://raw.githubusercontent.com/marcelo-pascoal/Semaforos/refs/heads/main/fotos/",Tabela1[[#This Row],[id_0]],".jpg")</f>
        <v>https://raw.githubusercontent.com/marcelo-pascoal/Semaforos/refs/heads/main/fotos/244.jpg</v>
      </c>
      <c r="AE177" s="3" t="str">
        <f>_xlfn.CONCAT("https://raw.githubusercontent.com/marcelo-pascoal/Semaforos/refs/heads/main/fotosD/",Tabela1[[#This Row],[id_0]],".jpg")</f>
        <v>https://raw.githubusercontent.com/marcelo-pascoal/Semaforos/refs/heads/main/fotosD/244.jpg</v>
      </c>
      <c r="AF177" s="3">
        <v>1</v>
      </c>
    </row>
    <row r="178" spans="1:32" ht="250" customHeight="1" x14ac:dyDescent="0.35">
      <c r="A178" s="2" t="s">
        <v>620</v>
      </c>
      <c r="B178" s="5">
        <v>245</v>
      </c>
      <c r="C178" s="2" t="s">
        <v>627</v>
      </c>
      <c r="D178" s="1" t="s">
        <v>38</v>
      </c>
      <c r="E178" s="2" t="s">
        <v>1147</v>
      </c>
      <c r="F178" s="2" t="s">
        <v>630</v>
      </c>
      <c r="G178" s="1" t="s">
        <v>1144</v>
      </c>
      <c r="H178" s="1" t="s">
        <v>1146</v>
      </c>
      <c r="I178" s="1" t="s">
        <v>628</v>
      </c>
      <c r="J178" s="2" t="s">
        <v>629</v>
      </c>
      <c r="K178" s="2" t="s">
        <v>34</v>
      </c>
      <c r="L178" s="3"/>
      <c r="M178" s="3"/>
      <c r="N178" s="3"/>
      <c r="O178" s="3">
        <v>1</v>
      </c>
      <c r="P178" s="3">
        <v>1</v>
      </c>
      <c r="Q178" s="3">
        <v>1</v>
      </c>
      <c r="R178" s="3">
        <v>1</v>
      </c>
      <c r="S178" s="3">
        <v>1</v>
      </c>
      <c r="T178" s="3">
        <v>1</v>
      </c>
      <c r="U178" s="3"/>
      <c r="V178" s="3"/>
      <c r="W178" s="3"/>
      <c r="X178" s="3"/>
      <c r="Y178" s="3"/>
      <c r="Z178" s="3"/>
      <c r="AA178" s="3" t="s">
        <v>35</v>
      </c>
      <c r="AB178" s="6" t="str">
        <f>HYPERLINK(_xlfn.CONCAT("https://www.google.com/maps/search/",Tabela1[[#This Row],[GPS]]),"##")</f>
        <v>##</v>
      </c>
      <c r="AC178" s="3" t="str">
        <f>_xlfn.CONCAT("https://raw.githubusercontent.com/marcelo-pascoal/Semaforos/refs/heads/main/fotosD/",Tabela1[[#This Row],[Foto1]])</f>
        <v>https://raw.githubusercontent.com/marcelo-pascoal/Semaforos/refs/heads/main/fotosD/DSCF7373.JPG</v>
      </c>
      <c r="AD178" s="3" t="str">
        <f>_xlfn.CONCAT("https://raw.githubusercontent.com/marcelo-pascoal/Semaforos/refs/heads/main/fotos/",Tabela1[[#This Row],[id_0]],".jpg")</f>
        <v>https://raw.githubusercontent.com/marcelo-pascoal/Semaforos/refs/heads/main/fotos/245.jpg</v>
      </c>
      <c r="AE178" s="3" t="str">
        <f>_xlfn.CONCAT("https://raw.githubusercontent.com/marcelo-pascoal/Semaforos/refs/heads/main/fotosD/",Tabela1[[#This Row],[id_0]],".jpg")</f>
        <v>https://raw.githubusercontent.com/marcelo-pascoal/Semaforos/refs/heads/main/fotosD/245.jpg</v>
      </c>
      <c r="AF178" s="3">
        <v>1</v>
      </c>
    </row>
    <row r="179" spans="1:32" ht="250" customHeight="1" x14ac:dyDescent="0.35">
      <c r="A179" s="2" t="s">
        <v>620</v>
      </c>
      <c r="B179" s="5">
        <v>246</v>
      </c>
      <c r="C179" s="2" t="s">
        <v>631</v>
      </c>
      <c r="D179" s="1" t="s">
        <v>38</v>
      </c>
      <c r="E179" s="2" t="s">
        <v>1147</v>
      </c>
      <c r="F179" s="2" t="s">
        <v>634</v>
      </c>
      <c r="G179" s="1" t="s">
        <v>1144</v>
      </c>
      <c r="H179" s="1" t="s">
        <v>1146</v>
      </c>
      <c r="I179" s="1" t="s">
        <v>632</v>
      </c>
      <c r="J179" s="2" t="s">
        <v>633</v>
      </c>
      <c r="K179" s="2" t="s">
        <v>34</v>
      </c>
      <c r="L179" s="3"/>
      <c r="M179" s="3"/>
      <c r="N179" s="3"/>
      <c r="O179" s="3">
        <v>1</v>
      </c>
      <c r="P179" s="3">
        <v>1</v>
      </c>
      <c r="Q179" s="3">
        <v>1</v>
      </c>
      <c r="R179" s="3">
        <v>1</v>
      </c>
      <c r="S179" s="3">
        <v>1</v>
      </c>
      <c r="T179" s="3">
        <v>1</v>
      </c>
      <c r="U179" s="3"/>
      <c r="V179" s="3"/>
      <c r="W179" s="3"/>
      <c r="X179" s="3"/>
      <c r="Y179" s="3"/>
      <c r="Z179" s="3"/>
      <c r="AA179" s="3" t="s">
        <v>35</v>
      </c>
      <c r="AB179" s="6" t="str">
        <f>HYPERLINK(_xlfn.CONCAT("https://www.google.com/maps/search/",Tabela1[[#This Row],[GPS]]),"##")</f>
        <v>##</v>
      </c>
      <c r="AC179" s="3" t="str">
        <f>_xlfn.CONCAT("https://raw.githubusercontent.com/marcelo-pascoal/Semaforos/refs/heads/main/fotosD/",Tabela1[[#This Row],[Foto1]])</f>
        <v>https://raw.githubusercontent.com/marcelo-pascoal/Semaforos/refs/heads/main/fotosD/DSCF7372.JPG</v>
      </c>
      <c r="AD179" s="3" t="str">
        <f>_xlfn.CONCAT("https://raw.githubusercontent.com/marcelo-pascoal/Semaforos/refs/heads/main/fotos/",Tabela1[[#This Row],[id_0]],".jpg")</f>
        <v>https://raw.githubusercontent.com/marcelo-pascoal/Semaforos/refs/heads/main/fotos/246.jpg</v>
      </c>
      <c r="AE179" s="3" t="str">
        <f>_xlfn.CONCAT("https://raw.githubusercontent.com/marcelo-pascoal/Semaforos/refs/heads/main/fotosD/",Tabela1[[#This Row],[id_0]],".jpg")</f>
        <v>https://raw.githubusercontent.com/marcelo-pascoal/Semaforos/refs/heads/main/fotosD/246.jpg</v>
      </c>
      <c r="AF179" s="3">
        <v>1</v>
      </c>
    </row>
    <row r="180" spans="1:32" ht="250" customHeight="1" x14ac:dyDescent="0.35">
      <c r="A180" s="2" t="s">
        <v>620</v>
      </c>
      <c r="B180" s="5">
        <v>247</v>
      </c>
      <c r="C180" s="2" t="s">
        <v>635</v>
      </c>
      <c r="D180" s="1" t="s">
        <v>31</v>
      </c>
      <c r="E180" s="2" t="s">
        <v>1147</v>
      </c>
      <c r="F180" s="2" t="s">
        <v>637</v>
      </c>
      <c r="G180" s="1" t="s">
        <v>1144</v>
      </c>
      <c r="H180" s="1" t="s">
        <v>31</v>
      </c>
      <c r="I180" s="1" t="s">
        <v>636</v>
      </c>
      <c r="J180" s="2" t="s">
        <v>598</v>
      </c>
      <c r="K180" s="2" t="s">
        <v>34</v>
      </c>
      <c r="L180" s="3"/>
      <c r="M180" s="3">
        <v>2</v>
      </c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 t="s">
        <v>35</v>
      </c>
      <c r="AB180" s="6" t="str">
        <f>HYPERLINK(_xlfn.CONCAT("https://www.google.com/maps/search/",Tabela1[[#This Row],[GPS]]),"##")</f>
        <v>##</v>
      </c>
      <c r="AC180" s="3" t="str">
        <f>_xlfn.CONCAT("https://raw.githubusercontent.com/marcelo-pascoal/Semaforos/refs/heads/main/fotosD/",Tabela1[[#This Row],[Foto1]])</f>
        <v>https://raw.githubusercontent.com/marcelo-pascoal/Semaforos/refs/heads/main/fotosD/DSCF7371.JPG</v>
      </c>
      <c r="AD180" s="3" t="str">
        <f>_xlfn.CONCAT("https://raw.githubusercontent.com/marcelo-pascoal/Semaforos/refs/heads/main/fotos/",Tabela1[[#This Row],[id_0]],".jpg")</f>
        <v>https://raw.githubusercontent.com/marcelo-pascoal/Semaforos/refs/heads/main/fotos/247.jpg</v>
      </c>
      <c r="AE180" s="3" t="str">
        <f>_xlfn.CONCAT("https://raw.githubusercontent.com/marcelo-pascoal/Semaforos/refs/heads/main/fotosD/",Tabela1[[#This Row],[id_0]],".jpg")</f>
        <v>https://raw.githubusercontent.com/marcelo-pascoal/Semaforos/refs/heads/main/fotosD/247.jpg</v>
      </c>
      <c r="AF180" s="3">
        <v>1</v>
      </c>
    </row>
    <row r="181" spans="1:32" ht="250" customHeight="1" x14ac:dyDescent="0.35">
      <c r="A181" s="2" t="s">
        <v>620</v>
      </c>
      <c r="B181" s="5">
        <v>460</v>
      </c>
      <c r="C181" s="2" t="s">
        <v>638</v>
      </c>
      <c r="D181" s="1" t="s">
        <v>38</v>
      </c>
      <c r="E181" s="2" t="s">
        <v>1147</v>
      </c>
      <c r="F181" s="2" t="s">
        <v>640</v>
      </c>
      <c r="G181" s="1" t="s">
        <v>1144</v>
      </c>
      <c r="H181" s="1" t="s">
        <v>1146</v>
      </c>
      <c r="I181" s="1" t="s">
        <v>639</v>
      </c>
      <c r="J181" s="2" t="s">
        <v>598</v>
      </c>
      <c r="K181" s="2" t="s">
        <v>34</v>
      </c>
      <c r="L181" s="3"/>
      <c r="M181" s="3"/>
      <c r="N181" s="3"/>
      <c r="O181" s="3"/>
      <c r="P181" s="3">
        <v>2</v>
      </c>
      <c r="Q181" s="3"/>
      <c r="R181" s="3"/>
      <c r="S181" s="3"/>
      <c r="T181" s="3"/>
      <c r="U181" s="3">
        <v>1</v>
      </c>
      <c r="V181" s="3">
        <v>1</v>
      </c>
      <c r="W181" s="3" t="s">
        <v>40</v>
      </c>
      <c r="X181" s="3" t="s">
        <v>40</v>
      </c>
      <c r="Y181" s="3"/>
      <c r="Z181" s="3"/>
      <c r="AA181" s="3" t="s">
        <v>35</v>
      </c>
      <c r="AB181" s="6" t="str">
        <f>HYPERLINK(_xlfn.CONCAT("https://www.google.com/maps/search/",Tabela1[[#This Row],[GPS]]),"##")</f>
        <v>##</v>
      </c>
      <c r="AC181" s="3" t="str">
        <f>_xlfn.CONCAT("https://raw.githubusercontent.com/marcelo-pascoal/Semaforos/refs/heads/main/fotosD/",Tabela1[[#This Row],[Foto1]])</f>
        <v>https://raw.githubusercontent.com/marcelo-pascoal/Semaforos/refs/heads/main/fotosD/DSCF7380.JPG</v>
      </c>
      <c r="AD181" s="3" t="str">
        <f>_xlfn.CONCAT("https://raw.githubusercontent.com/marcelo-pascoal/Semaforos/refs/heads/main/fotos/",Tabela1[[#This Row],[id_0]],".jpg")</f>
        <v>https://raw.githubusercontent.com/marcelo-pascoal/Semaforos/refs/heads/main/fotos/460.jpg</v>
      </c>
      <c r="AE181" s="3" t="str">
        <f>_xlfn.CONCAT("https://raw.githubusercontent.com/marcelo-pascoal/Semaforos/refs/heads/main/fotosD/",Tabela1[[#This Row],[id_0]],".jpg")</f>
        <v>https://raw.githubusercontent.com/marcelo-pascoal/Semaforos/refs/heads/main/fotosD/460.jpg</v>
      </c>
      <c r="AF181" s="3">
        <v>1</v>
      </c>
    </row>
    <row r="182" spans="1:32" ht="250" customHeight="1" x14ac:dyDescent="0.35">
      <c r="A182" s="2" t="s">
        <v>641</v>
      </c>
      <c r="B182" s="5">
        <v>253</v>
      </c>
      <c r="C182" s="2" t="s">
        <v>642</v>
      </c>
      <c r="D182" s="1" t="s">
        <v>31</v>
      </c>
      <c r="F182" s="2" t="s">
        <v>644</v>
      </c>
      <c r="G182" s="1" t="s">
        <v>1144</v>
      </c>
      <c r="H182" s="1" t="s">
        <v>31</v>
      </c>
      <c r="I182" s="1" t="s">
        <v>643</v>
      </c>
      <c r="J182" s="2" t="s">
        <v>458</v>
      </c>
      <c r="K182" s="2" t="s">
        <v>34</v>
      </c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 t="s">
        <v>35</v>
      </c>
      <c r="AB182" s="6" t="str">
        <f>HYPERLINK(_xlfn.CONCAT("https://www.google.com/maps/search/",Tabela1[[#This Row],[GPS]]),"##")</f>
        <v>##</v>
      </c>
      <c r="AC182" s="3" t="str">
        <f>_xlfn.CONCAT("https://raw.githubusercontent.com/marcelo-pascoal/Semaforos/refs/heads/main/fotosD/",Tabela1[[#This Row],[Foto1]])</f>
        <v>https://raw.githubusercontent.com/marcelo-pascoal/Semaforos/refs/heads/main/fotosD/DSCF7398.JPG</v>
      </c>
      <c r="AD182" s="3" t="str">
        <f>_xlfn.CONCAT("https://raw.githubusercontent.com/marcelo-pascoal/Semaforos/refs/heads/main/fotos/",Tabela1[[#This Row],[id_0]],".jpg")</f>
        <v>https://raw.githubusercontent.com/marcelo-pascoal/Semaforos/refs/heads/main/fotos/253.jpg</v>
      </c>
      <c r="AE182" s="3" t="str">
        <f>_xlfn.CONCAT("https://raw.githubusercontent.com/marcelo-pascoal/Semaforos/refs/heads/main/fotosD/",Tabela1[[#This Row],[id_0]],".jpg")</f>
        <v>https://raw.githubusercontent.com/marcelo-pascoal/Semaforos/refs/heads/main/fotosD/253.jpg</v>
      </c>
      <c r="AF182" s="3">
        <v>5</v>
      </c>
    </row>
    <row r="183" spans="1:32" ht="250" customHeight="1" x14ac:dyDescent="0.35">
      <c r="A183" s="2" t="s">
        <v>641</v>
      </c>
      <c r="B183" s="5">
        <v>254</v>
      </c>
      <c r="C183" s="2" t="s">
        <v>645</v>
      </c>
      <c r="D183" s="1" t="s">
        <v>38</v>
      </c>
      <c r="E183" s="2" t="s">
        <v>1148</v>
      </c>
      <c r="F183" s="2" t="s">
        <v>647</v>
      </c>
      <c r="G183" s="1" t="s">
        <v>1144</v>
      </c>
      <c r="H183" s="1" t="s">
        <v>1146</v>
      </c>
      <c r="I183" s="1" t="s">
        <v>646</v>
      </c>
      <c r="J183" s="2" t="s">
        <v>458</v>
      </c>
      <c r="K183" s="2" t="s">
        <v>34</v>
      </c>
      <c r="L183" s="3"/>
      <c r="M183" s="3"/>
      <c r="N183" s="3"/>
      <c r="O183" s="3">
        <v>1</v>
      </c>
      <c r="P183" s="3">
        <v>1</v>
      </c>
      <c r="Q183" s="3">
        <v>1</v>
      </c>
      <c r="R183" s="3">
        <v>1</v>
      </c>
      <c r="S183" s="3">
        <v>1</v>
      </c>
      <c r="T183" s="3">
        <v>1</v>
      </c>
      <c r="U183" s="3">
        <v>1</v>
      </c>
      <c r="V183" s="3">
        <v>1</v>
      </c>
      <c r="W183" s="3" t="s">
        <v>40</v>
      </c>
      <c r="X183" s="3" t="s">
        <v>40</v>
      </c>
      <c r="Y183" s="3" t="s">
        <v>40</v>
      </c>
      <c r="Z183" s="3"/>
      <c r="AA183" s="3" t="s">
        <v>35</v>
      </c>
      <c r="AB183" s="6" t="str">
        <f>HYPERLINK(_xlfn.CONCAT("https://www.google.com/maps/search/",Tabela1[[#This Row],[GPS]]),"##")</f>
        <v>##</v>
      </c>
      <c r="AC183" s="3" t="str">
        <f>_xlfn.CONCAT("https://raw.githubusercontent.com/marcelo-pascoal/Semaforos/refs/heads/main/fotosD/",Tabela1[[#This Row],[Foto1]])</f>
        <v>https://raw.githubusercontent.com/marcelo-pascoal/Semaforos/refs/heads/main/fotosD/DSCF7393.JPG</v>
      </c>
      <c r="AD183" s="3" t="str">
        <f>_xlfn.CONCAT("https://raw.githubusercontent.com/marcelo-pascoal/Semaforos/refs/heads/main/fotos/",Tabela1[[#This Row],[id_0]],".jpg")</f>
        <v>https://raw.githubusercontent.com/marcelo-pascoal/Semaforos/refs/heads/main/fotos/254.jpg</v>
      </c>
      <c r="AE183" s="3" t="str">
        <f>_xlfn.CONCAT("https://raw.githubusercontent.com/marcelo-pascoal/Semaforos/refs/heads/main/fotosD/",Tabela1[[#This Row],[id_0]],".jpg")</f>
        <v>https://raw.githubusercontent.com/marcelo-pascoal/Semaforos/refs/heads/main/fotosD/254.jpg</v>
      </c>
      <c r="AF183" s="3">
        <v>1</v>
      </c>
    </row>
    <row r="184" spans="1:32" ht="250" customHeight="1" x14ac:dyDescent="0.35">
      <c r="A184" s="2" t="s">
        <v>641</v>
      </c>
      <c r="B184" s="5">
        <v>255</v>
      </c>
      <c r="C184" s="2" t="s">
        <v>648</v>
      </c>
      <c r="D184" s="1" t="s">
        <v>60</v>
      </c>
      <c r="E184" s="2" t="s">
        <v>1148</v>
      </c>
      <c r="F184" s="2" t="s">
        <v>650</v>
      </c>
      <c r="G184" s="1" t="s">
        <v>1145</v>
      </c>
      <c r="H184" s="1" t="s">
        <v>1146</v>
      </c>
      <c r="I184" s="1" t="s">
        <v>649</v>
      </c>
      <c r="J184" s="2" t="s">
        <v>458</v>
      </c>
      <c r="K184" s="2" t="s">
        <v>34</v>
      </c>
      <c r="L184" s="3">
        <v>2</v>
      </c>
      <c r="M184" s="3"/>
      <c r="N184" s="3"/>
      <c r="O184" s="3">
        <v>1</v>
      </c>
      <c r="P184" s="3">
        <v>3</v>
      </c>
      <c r="Q184" s="3">
        <v>3</v>
      </c>
      <c r="R184" s="3">
        <v>1</v>
      </c>
      <c r="S184" s="3">
        <v>1</v>
      </c>
      <c r="T184" s="3">
        <v>1</v>
      </c>
      <c r="U184" s="3">
        <v>1</v>
      </c>
      <c r="V184" s="3">
        <v>1</v>
      </c>
      <c r="W184" s="3" t="s">
        <v>40</v>
      </c>
      <c r="X184" s="3" t="s">
        <v>40</v>
      </c>
      <c r="Y184" s="3" t="s">
        <v>40</v>
      </c>
      <c r="Z184" s="3"/>
      <c r="AA184" s="3" t="s">
        <v>35</v>
      </c>
      <c r="AB184" s="6" t="str">
        <f>HYPERLINK(_xlfn.CONCAT("https://www.google.com/maps/search/",Tabela1[[#This Row],[GPS]]),"##")</f>
        <v>##</v>
      </c>
      <c r="AC184" s="3" t="str">
        <f>_xlfn.CONCAT("https://raw.githubusercontent.com/marcelo-pascoal/Semaforos/refs/heads/main/fotosD/",Tabela1[[#This Row],[Foto1]])</f>
        <v>https://raw.githubusercontent.com/marcelo-pascoal/Semaforos/refs/heads/main/fotosD/DSCF7388.JPG</v>
      </c>
      <c r="AD184" s="3" t="str">
        <f>_xlfn.CONCAT("https://raw.githubusercontent.com/marcelo-pascoal/Semaforos/refs/heads/main/fotos/",Tabela1[[#This Row],[id_0]],".jpg")</f>
        <v>https://raw.githubusercontent.com/marcelo-pascoal/Semaforos/refs/heads/main/fotos/255.jpg</v>
      </c>
      <c r="AE184" s="3" t="str">
        <f>_xlfn.CONCAT("https://raw.githubusercontent.com/marcelo-pascoal/Semaforos/refs/heads/main/fotosD/",Tabela1[[#This Row],[id_0]],".jpg")</f>
        <v>https://raw.githubusercontent.com/marcelo-pascoal/Semaforos/refs/heads/main/fotosD/255.jpg</v>
      </c>
      <c r="AF184" s="3">
        <v>5</v>
      </c>
    </row>
    <row r="185" spans="1:32" ht="250" customHeight="1" x14ac:dyDescent="0.35">
      <c r="A185" s="2" t="s">
        <v>641</v>
      </c>
      <c r="B185" s="5">
        <v>256</v>
      </c>
      <c r="C185" s="2" t="s">
        <v>651</v>
      </c>
      <c r="D185" s="1" t="s">
        <v>31</v>
      </c>
      <c r="E185" s="2" t="s">
        <v>1148</v>
      </c>
      <c r="F185" s="2" t="s">
        <v>653</v>
      </c>
      <c r="G185" s="1" t="s">
        <v>1144</v>
      </c>
      <c r="H185" s="1" t="s">
        <v>31</v>
      </c>
      <c r="I185" s="1" t="s">
        <v>652</v>
      </c>
      <c r="J185" s="2" t="s">
        <v>458</v>
      </c>
      <c r="K185" s="2" t="s">
        <v>34</v>
      </c>
      <c r="L185" s="3"/>
      <c r="M185" s="3">
        <v>2</v>
      </c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 t="s">
        <v>35</v>
      </c>
      <c r="AB185" s="6" t="str">
        <f>HYPERLINK(_xlfn.CONCAT("https://www.google.com/maps/search/",Tabela1[[#This Row],[GPS]]),"##")</f>
        <v>##</v>
      </c>
      <c r="AC185" s="3" t="str">
        <f>_xlfn.CONCAT("https://raw.githubusercontent.com/marcelo-pascoal/Semaforos/refs/heads/main/fotosD/",Tabela1[[#This Row],[Foto1]])</f>
        <v>https://raw.githubusercontent.com/marcelo-pascoal/Semaforos/refs/heads/main/fotosD/DSCF7386.JPG</v>
      </c>
      <c r="AD185" s="3" t="str">
        <f>_xlfn.CONCAT("https://raw.githubusercontent.com/marcelo-pascoal/Semaforos/refs/heads/main/fotos/",Tabela1[[#This Row],[id_0]],".jpg")</f>
        <v>https://raw.githubusercontent.com/marcelo-pascoal/Semaforos/refs/heads/main/fotos/256.jpg</v>
      </c>
      <c r="AE185" s="3" t="str">
        <f>_xlfn.CONCAT("https://raw.githubusercontent.com/marcelo-pascoal/Semaforos/refs/heads/main/fotosD/",Tabela1[[#This Row],[id_0]],".jpg")</f>
        <v>https://raw.githubusercontent.com/marcelo-pascoal/Semaforos/refs/heads/main/fotosD/256.jpg</v>
      </c>
      <c r="AF185" s="3">
        <v>5</v>
      </c>
    </row>
    <row r="186" spans="1:32" ht="250" customHeight="1" x14ac:dyDescent="0.35">
      <c r="A186" s="2" t="s">
        <v>654</v>
      </c>
      <c r="B186" s="5">
        <v>99</v>
      </c>
      <c r="C186" s="2" t="s">
        <v>655</v>
      </c>
      <c r="D186" s="1" t="s">
        <v>31</v>
      </c>
      <c r="F186" s="2" t="s">
        <v>659</v>
      </c>
      <c r="G186" s="1" t="s">
        <v>1144</v>
      </c>
      <c r="H186" s="1" t="s">
        <v>31</v>
      </c>
      <c r="I186" s="1" t="s">
        <v>656</v>
      </c>
      <c r="J186" s="2" t="s">
        <v>657</v>
      </c>
      <c r="K186" s="2" t="s">
        <v>658</v>
      </c>
      <c r="L186" s="3"/>
      <c r="M186" s="3">
        <v>2</v>
      </c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 t="s">
        <v>35</v>
      </c>
      <c r="AB186" s="6" t="str">
        <f>HYPERLINK(_xlfn.CONCAT("https://www.google.com/maps/search/",Tabela1[[#This Row],[GPS]]),"##")</f>
        <v>##</v>
      </c>
      <c r="AC186" s="3" t="str">
        <f>_xlfn.CONCAT("https://raw.githubusercontent.com/marcelo-pascoal/Semaforos/refs/heads/main/fotosD/",Tabela1[[#This Row],[Foto1]])</f>
        <v>https://raw.githubusercontent.com/marcelo-pascoal/Semaforos/refs/heads/main/fotosD/DSCF7419.JPG</v>
      </c>
      <c r="AD186" s="3" t="str">
        <f>_xlfn.CONCAT("https://raw.githubusercontent.com/marcelo-pascoal/Semaforos/refs/heads/main/fotos/",Tabela1[[#This Row],[id_0]],".jpg")</f>
        <v>https://raw.githubusercontent.com/marcelo-pascoal/Semaforos/refs/heads/main/fotos/99.jpg</v>
      </c>
      <c r="AE186" s="3" t="str">
        <f>_xlfn.CONCAT("https://raw.githubusercontent.com/marcelo-pascoal/Semaforos/refs/heads/main/fotosD/",Tabela1[[#This Row],[id_0]],".jpg")</f>
        <v>https://raw.githubusercontent.com/marcelo-pascoal/Semaforos/refs/heads/main/fotosD/99.jpg</v>
      </c>
      <c r="AF186" s="3">
        <v>1</v>
      </c>
    </row>
    <row r="187" spans="1:32" ht="250" customHeight="1" x14ac:dyDescent="0.35">
      <c r="A187" s="2" t="s">
        <v>654</v>
      </c>
      <c r="B187" s="5">
        <v>100</v>
      </c>
      <c r="C187" s="2" t="s">
        <v>660</v>
      </c>
      <c r="D187" s="1" t="s">
        <v>60</v>
      </c>
      <c r="F187" s="2" t="s">
        <v>662</v>
      </c>
      <c r="G187" s="1" t="s">
        <v>1145</v>
      </c>
      <c r="H187" s="1" t="s">
        <v>1146</v>
      </c>
      <c r="I187" s="1" t="s">
        <v>661</v>
      </c>
      <c r="J187" s="2" t="s">
        <v>657</v>
      </c>
      <c r="K187" s="2" t="s">
        <v>658</v>
      </c>
      <c r="L187" s="3">
        <v>2</v>
      </c>
      <c r="M187" s="3"/>
      <c r="N187" s="3"/>
      <c r="O187" s="3">
        <v>1</v>
      </c>
      <c r="P187" s="3">
        <v>3</v>
      </c>
      <c r="Q187" s="3">
        <v>3</v>
      </c>
      <c r="R187" s="3"/>
      <c r="S187" s="3"/>
      <c r="T187" s="3"/>
      <c r="U187" s="3">
        <v>1</v>
      </c>
      <c r="V187" s="3">
        <v>1</v>
      </c>
      <c r="W187" s="3" t="s">
        <v>40</v>
      </c>
      <c r="X187" s="3" t="s">
        <v>40</v>
      </c>
      <c r="Y187" s="3" t="s">
        <v>40</v>
      </c>
      <c r="Z187" s="3"/>
      <c r="AA187" s="3" t="s">
        <v>35</v>
      </c>
      <c r="AB187" s="6" t="str">
        <f>HYPERLINK(_xlfn.CONCAT("https://www.google.com/maps/search/",Tabela1[[#This Row],[GPS]]),"##")</f>
        <v>##</v>
      </c>
      <c r="AC187" s="3" t="str">
        <f>_xlfn.CONCAT("https://raw.githubusercontent.com/marcelo-pascoal/Semaforos/refs/heads/main/fotosD/",Tabela1[[#This Row],[Foto1]])</f>
        <v>https://raw.githubusercontent.com/marcelo-pascoal/Semaforos/refs/heads/main/fotosD/DSCF7403.JPG</v>
      </c>
      <c r="AD187" s="3" t="str">
        <f>_xlfn.CONCAT("https://raw.githubusercontent.com/marcelo-pascoal/Semaforos/refs/heads/main/fotos/",Tabela1[[#This Row],[id_0]],".jpg")</f>
        <v>https://raw.githubusercontent.com/marcelo-pascoal/Semaforos/refs/heads/main/fotos/100.jpg</v>
      </c>
      <c r="AE187" s="3" t="str">
        <f>_xlfn.CONCAT("https://raw.githubusercontent.com/marcelo-pascoal/Semaforos/refs/heads/main/fotosD/",Tabela1[[#This Row],[id_0]],".jpg")</f>
        <v>https://raw.githubusercontent.com/marcelo-pascoal/Semaforos/refs/heads/main/fotosD/100.jpg</v>
      </c>
      <c r="AF187" s="3">
        <v>1</v>
      </c>
    </row>
    <row r="188" spans="1:32" ht="250" customHeight="1" x14ac:dyDescent="0.35">
      <c r="A188" s="2" t="s">
        <v>654</v>
      </c>
      <c r="B188" s="5">
        <v>101</v>
      </c>
      <c r="C188" s="2" t="s">
        <v>663</v>
      </c>
      <c r="D188" s="1" t="s">
        <v>38</v>
      </c>
      <c r="F188" s="2" t="s">
        <v>665</v>
      </c>
      <c r="G188" s="1" t="s">
        <v>1144</v>
      </c>
      <c r="H188" s="1" t="s">
        <v>1146</v>
      </c>
      <c r="I188" s="1" t="s">
        <v>664</v>
      </c>
      <c r="J188" s="2" t="s">
        <v>657</v>
      </c>
      <c r="K188" s="2" t="s">
        <v>658</v>
      </c>
      <c r="L188" s="3"/>
      <c r="M188" s="3"/>
      <c r="N188" s="3"/>
      <c r="O188" s="3">
        <v>1</v>
      </c>
      <c r="P188" s="3">
        <v>1</v>
      </c>
      <c r="Q188" s="3">
        <v>1</v>
      </c>
      <c r="R188" s="3">
        <v>1</v>
      </c>
      <c r="S188" s="3">
        <v>1</v>
      </c>
      <c r="T188" s="3">
        <v>1</v>
      </c>
      <c r="U188" s="3">
        <v>1</v>
      </c>
      <c r="V188" s="3">
        <v>1</v>
      </c>
      <c r="W188" s="3" t="s">
        <v>40</v>
      </c>
      <c r="X188" s="3" t="s">
        <v>40</v>
      </c>
      <c r="Y188" s="3"/>
      <c r="Z188" s="3"/>
      <c r="AA188" s="3" t="s">
        <v>35</v>
      </c>
      <c r="AB188" s="6" t="str">
        <f>HYPERLINK(_xlfn.CONCAT("https://www.google.com/maps/search/",Tabela1[[#This Row],[GPS]]),"##")</f>
        <v>##</v>
      </c>
      <c r="AC188" s="3" t="str">
        <f>_xlfn.CONCAT("https://raw.githubusercontent.com/marcelo-pascoal/Semaforos/refs/heads/main/fotosD/",Tabela1[[#This Row],[Foto1]])</f>
        <v>https://raw.githubusercontent.com/marcelo-pascoal/Semaforos/refs/heads/main/fotosD/DSCF7400.JPG</v>
      </c>
      <c r="AD188" s="3" t="str">
        <f>_xlfn.CONCAT("https://raw.githubusercontent.com/marcelo-pascoal/Semaforos/refs/heads/main/fotos/",Tabela1[[#This Row],[id_0]],".jpg")</f>
        <v>https://raw.githubusercontent.com/marcelo-pascoal/Semaforos/refs/heads/main/fotos/101.jpg</v>
      </c>
      <c r="AE188" s="3" t="str">
        <f>_xlfn.CONCAT("https://raw.githubusercontent.com/marcelo-pascoal/Semaforos/refs/heads/main/fotosD/",Tabela1[[#This Row],[id_0]],".jpg")</f>
        <v>https://raw.githubusercontent.com/marcelo-pascoal/Semaforos/refs/heads/main/fotosD/101.jpg</v>
      </c>
      <c r="AF188" s="3">
        <v>1</v>
      </c>
    </row>
    <row r="189" spans="1:32" ht="250" customHeight="1" x14ac:dyDescent="0.35">
      <c r="A189" s="2" t="s">
        <v>654</v>
      </c>
      <c r="B189" s="5">
        <v>102</v>
      </c>
      <c r="C189" s="2" t="s">
        <v>666</v>
      </c>
      <c r="D189" s="1" t="s">
        <v>31</v>
      </c>
      <c r="F189" s="2" t="s">
        <v>665</v>
      </c>
      <c r="G189" s="1" t="s">
        <v>1144</v>
      </c>
      <c r="H189" s="1" t="s">
        <v>31</v>
      </c>
      <c r="I189" s="1" t="s">
        <v>667</v>
      </c>
      <c r="J189" s="2" t="s">
        <v>657</v>
      </c>
      <c r="K189" s="2" t="s">
        <v>658</v>
      </c>
      <c r="L189" s="3"/>
      <c r="M189" s="3">
        <v>2</v>
      </c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 t="s">
        <v>35</v>
      </c>
      <c r="AB189" s="6" t="str">
        <f>HYPERLINK(_xlfn.CONCAT("https://www.google.com/maps/search/",Tabela1[[#This Row],[GPS]]),"##")</f>
        <v>##</v>
      </c>
      <c r="AC189" s="3" t="str">
        <f>_xlfn.CONCAT("https://raw.githubusercontent.com/marcelo-pascoal/Semaforos/refs/heads/main/fotosD/",Tabela1[[#This Row],[Foto1]])</f>
        <v>https://raw.githubusercontent.com/marcelo-pascoal/Semaforos/refs/heads/main/fotosD/DSCF7400.JPG</v>
      </c>
      <c r="AD189" s="3" t="str">
        <f>_xlfn.CONCAT("https://raw.githubusercontent.com/marcelo-pascoal/Semaforos/refs/heads/main/fotos/",Tabela1[[#This Row],[id_0]],".jpg")</f>
        <v>https://raw.githubusercontent.com/marcelo-pascoal/Semaforos/refs/heads/main/fotos/102.jpg</v>
      </c>
      <c r="AE189" s="3" t="str">
        <f>_xlfn.CONCAT("https://raw.githubusercontent.com/marcelo-pascoal/Semaforos/refs/heads/main/fotosD/",Tabela1[[#This Row],[id_0]],".jpg")</f>
        <v>https://raw.githubusercontent.com/marcelo-pascoal/Semaforos/refs/heads/main/fotosD/102.jpg</v>
      </c>
      <c r="AF189" s="3">
        <v>1</v>
      </c>
    </row>
    <row r="190" spans="1:32" ht="250" customHeight="1" x14ac:dyDescent="0.35">
      <c r="A190" s="2" t="s">
        <v>668</v>
      </c>
      <c r="B190" s="5">
        <v>96</v>
      </c>
      <c r="C190" s="2" t="s">
        <v>669</v>
      </c>
      <c r="D190" s="1" t="s">
        <v>38</v>
      </c>
      <c r="F190" s="2" t="s">
        <v>672</v>
      </c>
      <c r="G190" s="1" t="s">
        <v>1144</v>
      </c>
      <c r="H190" s="1" t="s">
        <v>1146</v>
      </c>
      <c r="I190" s="1" t="s">
        <v>670</v>
      </c>
      <c r="J190" s="2" t="s">
        <v>671</v>
      </c>
      <c r="K190" s="2" t="s">
        <v>658</v>
      </c>
      <c r="L190" s="3"/>
      <c r="M190" s="3"/>
      <c r="N190" s="3"/>
      <c r="O190" s="3">
        <v>1</v>
      </c>
      <c r="P190" s="3">
        <v>1</v>
      </c>
      <c r="Q190" s="3">
        <v>1</v>
      </c>
      <c r="R190" s="3">
        <v>1</v>
      </c>
      <c r="S190" s="3">
        <v>1</v>
      </c>
      <c r="T190" s="3">
        <v>1</v>
      </c>
      <c r="U190" s="3">
        <v>1</v>
      </c>
      <c r="V190" s="3">
        <v>1</v>
      </c>
      <c r="W190" s="3" t="s">
        <v>40</v>
      </c>
      <c r="X190" s="3" t="s">
        <v>40</v>
      </c>
      <c r="Y190" s="3"/>
      <c r="Z190" s="3"/>
      <c r="AA190" s="3" t="s">
        <v>35</v>
      </c>
      <c r="AB190" s="6" t="str">
        <f>HYPERLINK(_xlfn.CONCAT("https://www.google.com/maps/search/",Tabela1[[#This Row],[GPS]]),"##")</f>
        <v>##</v>
      </c>
      <c r="AC190" s="3" t="str">
        <f>_xlfn.CONCAT("https://raw.githubusercontent.com/marcelo-pascoal/Semaforos/refs/heads/main/fotosD/",Tabela1[[#This Row],[Foto1]])</f>
        <v>https://raw.githubusercontent.com/marcelo-pascoal/Semaforos/refs/heads/main/fotosD/DSCF7430.JPG</v>
      </c>
      <c r="AD190" s="3" t="str">
        <f>_xlfn.CONCAT("https://raw.githubusercontent.com/marcelo-pascoal/Semaforos/refs/heads/main/fotos/",Tabela1[[#This Row],[id_0]],".jpg")</f>
        <v>https://raw.githubusercontent.com/marcelo-pascoal/Semaforos/refs/heads/main/fotos/96.jpg</v>
      </c>
      <c r="AE190" s="3" t="str">
        <f>_xlfn.CONCAT("https://raw.githubusercontent.com/marcelo-pascoal/Semaforos/refs/heads/main/fotosD/",Tabela1[[#This Row],[id_0]],".jpg")</f>
        <v>https://raw.githubusercontent.com/marcelo-pascoal/Semaforos/refs/heads/main/fotosD/96.jpg</v>
      </c>
      <c r="AF190" s="3">
        <v>1</v>
      </c>
    </row>
    <row r="191" spans="1:32" ht="250" customHeight="1" x14ac:dyDescent="0.35">
      <c r="A191" s="2" t="s">
        <v>668</v>
      </c>
      <c r="B191" s="5">
        <v>97</v>
      </c>
      <c r="C191" s="2" t="s">
        <v>673</v>
      </c>
      <c r="D191" s="1" t="s">
        <v>60</v>
      </c>
      <c r="E191" s="2" t="s">
        <v>1147</v>
      </c>
      <c r="F191" s="2" t="s">
        <v>675</v>
      </c>
      <c r="G191" s="1" t="s">
        <v>1145</v>
      </c>
      <c r="H191" s="1" t="s">
        <v>1146</v>
      </c>
      <c r="I191" s="1" t="s">
        <v>674</v>
      </c>
      <c r="J191" s="2" t="s">
        <v>671</v>
      </c>
      <c r="K191" s="2" t="s">
        <v>658</v>
      </c>
      <c r="L191" s="3">
        <v>2</v>
      </c>
      <c r="M191" s="3"/>
      <c r="N191" s="3"/>
      <c r="O191" s="3">
        <v>1</v>
      </c>
      <c r="P191" s="3">
        <v>3</v>
      </c>
      <c r="Q191" s="3">
        <v>3</v>
      </c>
      <c r="R191" s="3"/>
      <c r="S191" s="3"/>
      <c r="T191" s="3"/>
      <c r="U191" s="3">
        <v>1</v>
      </c>
      <c r="V191" s="3">
        <v>1</v>
      </c>
      <c r="W191" s="3" t="s">
        <v>40</v>
      </c>
      <c r="X191" s="3" t="s">
        <v>40</v>
      </c>
      <c r="Y191" s="3" t="s">
        <v>40</v>
      </c>
      <c r="Z191" s="3"/>
      <c r="AA191" s="3" t="s">
        <v>35</v>
      </c>
      <c r="AB191" s="6" t="str">
        <f>HYPERLINK(_xlfn.CONCAT("https://www.google.com/maps/search/",Tabela1[[#This Row],[GPS]]),"##")</f>
        <v>##</v>
      </c>
      <c r="AC191" s="3" t="str">
        <f>_xlfn.CONCAT("https://raw.githubusercontent.com/marcelo-pascoal/Semaforos/refs/heads/main/fotosD/",Tabela1[[#This Row],[Foto1]])</f>
        <v>https://raw.githubusercontent.com/marcelo-pascoal/Semaforos/refs/heads/main/fotosD/DSCF7425.JPG</v>
      </c>
      <c r="AD191" s="3" t="str">
        <f>_xlfn.CONCAT("https://raw.githubusercontent.com/marcelo-pascoal/Semaforos/refs/heads/main/fotos/",Tabela1[[#This Row],[id_0]],".jpg")</f>
        <v>https://raw.githubusercontent.com/marcelo-pascoal/Semaforos/refs/heads/main/fotos/97.jpg</v>
      </c>
      <c r="AE191" s="3" t="str">
        <f>_xlfn.CONCAT("https://raw.githubusercontent.com/marcelo-pascoal/Semaforos/refs/heads/main/fotosD/",Tabela1[[#This Row],[id_0]],".jpg")</f>
        <v>https://raw.githubusercontent.com/marcelo-pascoal/Semaforos/refs/heads/main/fotosD/97.jpg</v>
      </c>
      <c r="AF191" s="3">
        <v>1</v>
      </c>
    </row>
    <row r="192" spans="1:32" ht="250" customHeight="1" x14ac:dyDescent="0.35">
      <c r="A192" s="2" t="s">
        <v>668</v>
      </c>
      <c r="B192" s="5">
        <v>98</v>
      </c>
      <c r="C192" s="2" t="s">
        <v>676</v>
      </c>
      <c r="D192" s="1" t="s">
        <v>31</v>
      </c>
      <c r="E192" s="2" t="s">
        <v>1147</v>
      </c>
      <c r="F192" s="2" t="s">
        <v>678</v>
      </c>
      <c r="G192" s="1" t="s">
        <v>1144</v>
      </c>
      <c r="H192" s="1" t="s">
        <v>31</v>
      </c>
      <c r="I192" s="1" t="s">
        <v>677</v>
      </c>
      <c r="J192" s="2" t="s">
        <v>671</v>
      </c>
      <c r="K192" s="2" t="s">
        <v>658</v>
      </c>
      <c r="L192" s="3"/>
      <c r="M192" s="3"/>
      <c r="N192" s="3"/>
      <c r="O192" s="3"/>
      <c r="P192" s="3">
        <v>2</v>
      </c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 t="s">
        <v>35</v>
      </c>
      <c r="AB192" s="6" t="str">
        <f>HYPERLINK(_xlfn.CONCAT("https://www.google.com/maps/search/",Tabela1[[#This Row],[GPS]]),"##")</f>
        <v>##</v>
      </c>
      <c r="AC192" s="3" t="str">
        <f>_xlfn.CONCAT("https://raw.githubusercontent.com/marcelo-pascoal/Semaforos/refs/heads/main/fotosD/",Tabela1[[#This Row],[Foto1]])</f>
        <v>https://raw.githubusercontent.com/marcelo-pascoal/Semaforos/refs/heads/main/fotosD/DSCF7421.JPG</v>
      </c>
      <c r="AD192" s="3" t="str">
        <f>_xlfn.CONCAT("https://raw.githubusercontent.com/marcelo-pascoal/Semaforos/refs/heads/main/fotos/",Tabela1[[#This Row],[id_0]],".jpg")</f>
        <v>https://raw.githubusercontent.com/marcelo-pascoal/Semaforos/refs/heads/main/fotos/98.jpg</v>
      </c>
      <c r="AE192" s="3" t="str">
        <f>_xlfn.CONCAT("https://raw.githubusercontent.com/marcelo-pascoal/Semaforos/refs/heads/main/fotosD/",Tabela1[[#This Row],[id_0]],".jpg")</f>
        <v>https://raw.githubusercontent.com/marcelo-pascoal/Semaforos/refs/heads/main/fotosD/98.jpg</v>
      </c>
      <c r="AF192" s="3">
        <v>1</v>
      </c>
    </row>
    <row r="193" spans="1:32" ht="250" customHeight="1" x14ac:dyDescent="0.35">
      <c r="A193" s="2" t="s">
        <v>668</v>
      </c>
      <c r="B193" s="5">
        <v>461</v>
      </c>
      <c r="C193" s="2" t="s">
        <v>679</v>
      </c>
      <c r="D193" s="1" t="s">
        <v>31</v>
      </c>
      <c r="E193" s="2" t="s">
        <v>1147</v>
      </c>
      <c r="F193" s="2" t="s">
        <v>681</v>
      </c>
      <c r="G193" s="1" t="s">
        <v>1144</v>
      </c>
      <c r="H193" s="1" t="s">
        <v>31</v>
      </c>
      <c r="I193" s="1" t="s">
        <v>680</v>
      </c>
      <c r="J193" s="2" t="s">
        <v>671</v>
      </c>
      <c r="K193" s="2" t="s">
        <v>658</v>
      </c>
      <c r="L193" s="3"/>
      <c r="M193" s="3">
        <v>1</v>
      </c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 t="s">
        <v>35</v>
      </c>
      <c r="AB193" s="6" t="str">
        <f>HYPERLINK(_xlfn.CONCAT("https://www.google.com/maps/search/",Tabela1[[#This Row],[GPS]]),"##")</f>
        <v>##</v>
      </c>
      <c r="AC193" s="3" t="str">
        <f>_xlfn.CONCAT("https://raw.githubusercontent.com/marcelo-pascoal/Semaforos/refs/heads/main/fotosD/",Tabela1[[#This Row],[Foto1]])</f>
        <v>https://raw.githubusercontent.com/marcelo-pascoal/Semaforos/refs/heads/main/fotosD/DSCF7436.JPG</v>
      </c>
      <c r="AD193" s="3" t="str">
        <f>_xlfn.CONCAT("https://raw.githubusercontent.com/marcelo-pascoal/Semaforos/refs/heads/main/fotos/",Tabela1[[#This Row],[id_0]],".jpg")</f>
        <v>https://raw.githubusercontent.com/marcelo-pascoal/Semaforos/refs/heads/main/fotos/461.jpg</v>
      </c>
      <c r="AE193" s="3" t="str">
        <f>_xlfn.CONCAT("https://raw.githubusercontent.com/marcelo-pascoal/Semaforos/refs/heads/main/fotosD/",Tabela1[[#This Row],[id_0]],".jpg")</f>
        <v>https://raw.githubusercontent.com/marcelo-pascoal/Semaforos/refs/heads/main/fotosD/461.jpg</v>
      </c>
      <c r="AF193" s="3">
        <v>5</v>
      </c>
    </row>
    <row r="194" spans="1:32" ht="250" customHeight="1" x14ac:dyDescent="0.35">
      <c r="A194" s="2" t="s">
        <v>682</v>
      </c>
      <c r="B194" s="5">
        <v>92</v>
      </c>
      <c r="C194" s="2" t="s">
        <v>683</v>
      </c>
      <c r="D194" s="1" t="s">
        <v>31</v>
      </c>
      <c r="E194" s="2" t="s">
        <v>1148</v>
      </c>
      <c r="F194" s="2" t="s">
        <v>687</v>
      </c>
      <c r="G194" s="1" t="s">
        <v>1144</v>
      </c>
      <c r="H194" s="1" t="s">
        <v>31</v>
      </c>
      <c r="I194" s="1" t="s">
        <v>684</v>
      </c>
      <c r="J194" s="2" t="s">
        <v>685</v>
      </c>
      <c r="K194" s="2" t="s">
        <v>686</v>
      </c>
      <c r="L194" s="3"/>
      <c r="M194" s="3">
        <v>2</v>
      </c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 t="s">
        <v>35</v>
      </c>
      <c r="AB194" s="6" t="str">
        <f>HYPERLINK(_xlfn.CONCAT("https://www.google.com/maps/search/",Tabela1[[#This Row],[GPS]]),"##")</f>
        <v>##</v>
      </c>
      <c r="AC194" s="3" t="str">
        <f>_xlfn.CONCAT("https://raw.githubusercontent.com/marcelo-pascoal/Semaforos/refs/heads/main/fotosD/",Tabela1[[#This Row],[Foto1]])</f>
        <v>https://raw.githubusercontent.com/marcelo-pascoal/Semaforos/refs/heads/main/fotosD/DSCF7455.JPG</v>
      </c>
      <c r="AD194" s="3" t="str">
        <f>_xlfn.CONCAT("https://raw.githubusercontent.com/marcelo-pascoal/Semaforos/refs/heads/main/fotos/",Tabela1[[#This Row],[id_0]],".jpg")</f>
        <v>https://raw.githubusercontent.com/marcelo-pascoal/Semaforos/refs/heads/main/fotos/92.jpg</v>
      </c>
      <c r="AE194" s="3" t="str">
        <f>_xlfn.CONCAT("https://raw.githubusercontent.com/marcelo-pascoal/Semaforos/refs/heads/main/fotosD/",Tabela1[[#This Row],[id_0]],".jpg")</f>
        <v>https://raw.githubusercontent.com/marcelo-pascoal/Semaforos/refs/heads/main/fotosD/92.jpg</v>
      </c>
      <c r="AF194" s="3">
        <v>5</v>
      </c>
    </row>
    <row r="195" spans="1:32" ht="250" customHeight="1" x14ac:dyDescent="0.35">
      <c r="A195" s="2" t="s">
        <v>682</v>
      </c>
      <c r="B195" s="5">
        <v>93</v>
      </c>
      <c r="C195" s="2" t="s">
        <v>688</v>
      </c>
      <c r="D195" s="1" t="s">
        <v>38</v>
      </c>
      <c r="F195" s="2" t="s">
        <v>690</v>
      </c>
      <c r="G195" s="1" t="s">
        <v>1144</v>
      </c>
      <c r="H195" s="1" t="s">
        <v>1146</v>
      </c>
      <c r="I195" s="1" t="s">
        <v>689</v>
      </c>
      <c r="J195" s="2" t="s">
        <v>685</v>
      </c>
      <c r="K195" s="2" t="s">
        <v>686</v>
      </c>
      <c r="L195" s="3"/>
      <c r="M195" s="3"/>
      <c r="N195" s="3"/>
      <c r="O195" s="3">
        <v>1</v>
      </c>
      <c r="P195" s="3">
        <v>1</v>
      </c>
      <c r="Q195" s="3">
        <v>1</v>
      </c>
      <c r="R195" s="3"/>
      <c r="S195" s="3"/>
      <c r="T195" s="3"/>
      <c r="U195" s="3">
        <v>1</v>
      </c>
      <c r="V195" s="3">
        <v>1</v>
      </c>
      <c r="W195" s="3" t="s">
        <v>40</v>
      </c>
      <c r="X195" s="3" t="s">
        <v>40</v>
      </c>
      <c r="Y195" s="3"/>
      <c r="Z195" s="3"/>
      <c r="AA195" s="3" t="s">
        <v>35</v>
      </c>
      <c r="AB195" s="6" t="str">
        <f>HYPERLINK(_xlfn.CONCAT("https://www.google.com/maps/search/",Tabela1[[#This Row],[GPS]]),"##")</f>
        <v>##</v>
      </c>
      <c r="AC195" s="3" t="str">
        <f>_xlfn.CONCAT("https://raw.githubusercontent.com/marcelo-pascoal/Semaforos/refs/heads/main/fotosD/",Tabela1[[#This Row],[Foto1]])</f>
        <v>https://raw.githubusercontent.com/marcelo-pascoal/Semaforos/refs/heads/main/fotosD/DSCF7448.JPG</v>
      </c>
      <c r="AD195" s="3" t="str">
        <f>_xlfn.CONCAT("https://raw.githubusercontent.com/marcelo-pascoal/Semaforos/refs/heads/main/fotos/",Tabela1[[#This Row],[id_0]],".jpg")</f>
        <v>https://raw.githubusercontent.com/marcelo-pascoal/Semaforos/refs/heads/main/fotos/93.jpg</v>
      </c>
      <c r="AE195" s="3" t="str">
        <f>_xlfn.CONCAT("https://raw.githubusercontent.com/marcelo-pascoal/Semaforos/refs/heads/main/fotosD/",Tabela1[[#This Row],[id_0]],".jpg")</f>
        <v>https://raw.githubusercontent.com/marcelo-pascoal/Semaforos/refs/heads/main/fotosD/93.jpg</v>
      </c>
      <c r="AF195" s="3">
        <v>1</v>
      </c>
    </row>
    <row r="196" spans="1:32" ht="250" customHeight="1" x14ac:dyDescent="0.35">
      <c r="A196" s="2" t="s">
        <v>682</v>
      </c>
      <c r="B196" s="5">
        <v>94</v>
      </c>
      <c r="C196" s="2" t="s">
        <v>691</v>
      </c>
      <c r="D196" s="1" t="s">
        <v>60</v>
      </c>
      <c r="E196" s="2" t="s">
        <v>1148</v>
      </c>
      <c r="F196" s="2" t="s">
        <v>693</v>
      </c>
      <c r="G196" s="1" t="s">
        <v>1145</v>
      </c>
      <c r="H196" s="1" t="s">
        <v>1146</v>
      </c>
      <c r="I196" s="1" t="s">
        <v>692</v>
      </c>
      <c r="J196" s="2" t="s">
        <v>685</v>
      </c>
      <c r="K196" s="2" t="s">
        <v>686</v>
      </c>
      <c r="L196" s="3">
        <v>2</v>
      </c>
      <c r="M196" s="3"/>
      <c r="N196" s="3"/>
      <c r="O196" s="3">
        <v>1</v>
      </c>
      <c r="P196" s="3">
        <v>3</v>
      </c>
      <c r="Q196" s="3">
        <v>3</v>
      </c>
      <c r="R196" s="3"/>
      <c r="S196" s="3"/>
      <c r="T196" s="3"/>
      <c r="U196" s="3">
        <v>1</v>
      </c>
      <c r="V196" s="3">
        <v>1</v>
      </c>
      <c r="W196" s="3" t="s">
        <v>40</v>
      </c>
      <c r="X196" s="3" t="s">
        <v>40</v>
      </c>
      <c r="Y196" s="3" t="s">
        <v>40</v>
      </c>
      <c r="Z196" s="3"/>
      <c r="AA196" s="3" t="s">
        <v>35</v>
      </c>
      <c r="AB196" s="6" t="str">
        <f>HYPERLINK(_xlfn.CONCAT("https://www.google.com/maps/search/",Tabela1[[#This Row],[GPS]]),"##")</f>
        <v>##</v>
      </c>
      <c r="AC196" s="3" t="str">
        <f>_xlfn.CONCAT("https://raw.githubusercontent.com/marcelo-pascoal/Semaforos/refs/heads/main/fotosD/",Tabela1[[#This Row],[Foto1]])</f>
        <v>https://raw.githubusercontent.com/marcelo-pascoal/Semaforos/refs/heads/main/fotosD/DSCF7440.JPG</v>
      </c>
      <c r="AD196" s="3" t="str">
        <f>_xlfn.CONCAT("https://raw.githubusercontent.com/marcelo-pascoal/Semaforos/refs/heads/main/fotos/",Tabela1[[#This Row],[id_0]],".jpg")</f>
        <v>https://raw.githubusercontent.com/marcelo-pascoal/Semaforos/refs/heads/main/fotos/94.jpg</v>
      </c>
      <c r="AE196" s="3" t="str">
        <f>_xlfn.CONCAT("https://raw.githubusercontent.com/marcelo-pascoal/Semaforos/refs/heads/main/fotosD/",Tabela1[[#This Row],[id_0]],".jpg")</f>
        <v>https://raw.githubusercontent.com/marcelo-pascoal/Semaforos/refs/heads/main/fotosD/94.jpg</v>
      </c>
      <c r="AF196" s="3">
        <v>1</v>
      </c>
    </row>
    <row r="197" spans="1:32" ht="250" customHeight="1" x14ac:dyDescent="0.35">
      <c r="A197" s="2" t="s">
        <v>682</v>
      </c>
      <c r="B197" s="5">
        <v>95</v>
      </c>
      <c r="C197" s="2" t="s">
        <v>694</v>
      </c>
      <c r="D197" s="1" t="s">
        <v>31</v>
      </c>
      <c r="E197" s="2" t="s">
        <v>1148</v>
      </c>
      <c r="F197" s="2" t="s">
        <v>696</v>
      </c>
      <c r="G197" s="1" t="s">
        <v>1144</v>
      </c>
      <c r="H197" s="1" t="s">
        <v>31</v>
      </c>
      <c r="I197" s="1" t="s">
        <v>695</v>
      </c>
      <c r="J197" s="2" t="s">
        <v>685</v>
      </c>
      <c r="K197" s="2" t="s">
        <v>686</v>
      </c>
      <c r="L197" s="3"/>
      <c r="M197" s="3">
        <v>2</v>
      </c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 t="s">
        <v>35</v>
      </c>
      <c r="AB197" s="6" t="str">
        <f>HYPERLINK(_xlfn.CONCAT("https://www.google.com/maps/search/",Tabela1[[#This Row],[GPS]]),"##")</f>
        <v>##</v>
      </c>
      <c r="AC197" s="3" t="str">
        <f>_xlfn.CONCAT("https://raw.githubusercontent.com/marcelo-pascoal/Semaforos/refs/heads/main/fotosD/",Tabela1[[#This Row],[Foto1]])</f>
        <v>https://raw.githubusercontent.com/marcelo-pascoal/Semaforos/refs/heads/main/fotosD/DSCF7438.JPG</v>
      </c>
      <c r="AD197" s="3" t="str">
        <f>_xlfn.CONCAT("https://raw.githubusercontent.com/marcelo-pascoal/Semaforos/refs/heads/main/fotos/",Tabela1[[#This Row],[id_0]],".jpg")</f>
        <v>https://raw.githubusercontent.com/marcelo-pascoal/Semaforos/refs/heads/main/fotos/95.jpg</v>
      </c>
      <c r="AE197" s="3" t="str">
        <f>_xlfn.CONCAT("https://raw.githubusercontent.com/marcelo-pascoal/Semaforos/refs/heads/main/fotosD/",Tabela1[[#This Row],[id_0]],".jpg")</f>
        <v>https://raw.githubusercontent.com/marcelo-pascoal/Semaforos/refs/heads/main/fotosD/95.jpg</v>
      </c>
      <c r="AF197" s="3">
        <v>5</v>
      </c>
    </row>
    <row r="198" spans="1:32" ht="250" customHeight="1" x14ac:dyDescent="0.35">
      <c r="A198" s="2" t="s">
        <v>697</v>
      </c>
      <c r="B198" s="5">
        <v>89</v>
      </c>
      <c r="C198" s="2" t="s">
        <v>698</v>
      </c>
      <c r="D198" s="1" t="s">
        <v>38</v>
      </c>
      <c r="E198" s="2" t="s">
        <v>1148</v>
      </c>
      <c r="F198" s="2" t="s">
        <v>701</v>
      </c>
      <c r="G198" s="1" t="s">
        <v>1144</v>
      </c>
      <c r="H198" s="1" t="s">
        <v>1146</v>
      </c>
      <c r="I198" s="1" t="s">
        <v>699</v>
      </c>
      <c r="J198" s="2" t="s">
        <v>700</v>
      </c>
      <c r="K198" s="2" t="s">
        <v>686</v>
      </c>
      <c r="L198" s="3"/>
      <c r="M198" s="3"/>
      <c r="N198" s="3"/>
      <c r="O198" s="3"/>
      <c r="P198" s="3">
        <v>2</v>
      </c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 t="s">
        <v>35</v>
      </c>
      <c r="AB198" s="6" t="str">
        <f>HYPERLINK(_xlfn.CONCAT("https://www.google.com/maps/search/",Tabela1[[#This Row],[GPS]]),"##")</f>
        <v>##</v>
      </c>
      <c r="AC198" s="3" t="str">
        <f>_xlfn.CONCAT("https://raw.githubusercontent.com/marcelo-pascoal/Semaforos/refs/heads/main/fotosD/",Tabela1[[#This Row],[Foto1]])</f>
        <v>https://raw.githubusercontent.com/marcelo-pascoal/Semaforos/refs/heads/main/fotosD/DSCF7472.JPG</v>
      </c>
      <c r="AD198" s="3" t="str">
        <f>_xlfn.CONCAT("https://raw.githubusercontent.com/marcelo-pascoal/Semaforos/refs/heads/main/fotos/",Tabela1[[#This Row],[id_0]],".jpg")</f>
        <v>https://raw.githubusercontent.com/marcelo-pascoal/Semaforos/refs/heads/main/fotos/89.jpg</v>
      </c>
      <c r="AE198" s="3" t="str">
        <f>_xlfn.CONCAT("https://raw.githubusercontent.com/marcelo-pascoal/Semaforos/refs/heads/main/fotosD/",Tabela1[[#This Row],[id_0]],".jpg")</f>
        <v>https://raw.githubusercontent.com/marcelo-pascoal/Semaforos/refs/heads/main/fotosD/89.jpg</v>
      </c>
      <c r="AF198" s="3">
        <v>1</v>
      </c>
    </row>
    <row r="199" spans="1:32" ht="250" customHeight="1" x14ac:dyDescent="0.35">
      <c r="A199" s="2" t="s">
        <v>697</v>
      </c>
      <c r="B199" s="5">
        <v>90</v>
      </c>
      <c r="C199" s="2" t="s">
        <v>702</v>
      </c>
      <c r="D199" s="1" t="s">
        <v>38</v>
      </c>
      <c r="E199" s="2" t="s">
        <v>1148</v>
      </c>
      <c r="F199" s="2" t="s">
        <v>704</v>
      </c>
      <c r="G199" s="1" t="s">
        <v>1144</v>
      </c>
      <c r="H199" s="1" t="s">
        <v>1146</v>
      </c>
      <c r="I199" s="1" t="s">
        <v>703</v>
      </c>
      <c r="J199" s="2" t="s">
        <v>700</v>
      </c>
      <c r="K199" s="2" t="s">
        <v>686</v>
      </c>
      <c r="L199" s="3"/>
      <c r="M199" s="3"/>
      <c r="N199" s="3"/>
      <c r="O199" s="3">
        <v>1</v>
      </c>
      <c r="P199" s="3">
        <v>1</v>
      </c>
      <c r="Q199" s="3">
        <v>1</v>
      </c>
      <c r="R199" s="3"/>
      <c r="S199" s="3"/>
      <c r="T199" s="3"/>
      <c r="U199" s="3">
        <v>1</v>
      </c>
      <c r="V199" s="3">
        <v>1</v>
      </c>
      <c r="W199" s="3" t="s">
        <v>40</v>
      </c>
      <c r="X199" s="3" t="s">
        <v>40</v>
      </c>
      <c r="Y199" s="3"/>
      <c r="Z199" s="3"/>
      <c r="AA199" s="3" t="s">
        <v>35</v>
      </c>
      <c r="AB199" s="6" t="str">
        <f>HYPERLINK(_xlfn.CONCAT("https://www.google.com/maps/search/",Tabela1[[#This Row],[GPS]]),"##")</f>
        <v>##</v>
      </c>
      <c r="AC199" s="3" t="str">
        <f>_xlfn.CONCAT("https://raw.githubusercontent.com/marcelo-pascoal/Semaforos/refs/heads/main/fotosD/",Tabela1[[#This Row],[Foto1]])</f>
        <v>https://raw.githubusercontent.com/marcelo-pascoal/Semaforos/refs/heads/main/fotosD/DSCF7462.JPG</v>
      </c>
      <c r="AD199" s="3" t="str">
        <f>_xlfn.CONCAT("https://raw.githubusercontent.com/marcelo-pascoal/Semaforos/refs/heads/main/fotos/",Tabela1[[#This Row],[id_0]],".jpg")</f>
        <v>https://raw.githubusercontent.com/marcelo-pascoal/Semaforos/refs/heads/main/fotos/90.jpg</v>
      </c>
      <c r="AE199" s="3" t="str">
        <f>_xlfn.CONCAT("https://raw.githubusercontent.com/marcelo-pascoal/Semaforos/refs/heads/main/fotosD/",Tabela1[[#This Row],[id_0]],".jpg")</f>
        <v>https://raw.githubusercontent.com/marcelo-pascoal/Semaforos/refs/heads/main/fotosD/90.jpg</v>
      </c>
      <c r="AF199" s="3">
        <v>1</v>
      </c>
    </row>
    <row r="200" spans="1:32" ht="250" customHeight="1" x14ac:dyDescent="0.35">
      <c r="A200" s="2" t="s">
        <v>697</v>
      </c>
      <c r="B200" s="5">
        <v>91</v>
      </c>
      <c r="C200" s="2" t="s">
        <v>705</v>
      </c>
      <c r="D200" s="1" t="s">
        <v>31</v>
      </c>
      <c r="E200" s="2" t="s">
        <v>1148</v>
      </c>
      <c r="F200" s="2" t="s">
        <v>707</v>
      </c>
      <c r="G200" s="1" t="s">
        <v>1144</v>
      </c>
      <c r="H200" s="1" t="s">
        <v>31</v>
      </c>
      <c r="I200" s="1" t="s">
        <v>706</v>
      </c>
      <c r="J200" s="2" t="s">
        <v>700</v>
      </c>
      <c r="K200" s="2" t="s">
        <v>686</v>
      </c>
      <c r="L200" s="3"/>
      <c r="M200" s="3">
        <v>2</v>
      </c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 t="s">
        <v>35</v>
      </c>
      <c r="AB200" s="6" t="str">
        <f>HYPERLINK(_xlfn.CONCAT("https://www.google.com/maps/search/",Tabela1[[#This Row],[GPS]]),"##")</f>
        <v>##</v>
      </c>
      <c r="AC200" s="3" t="str">
        <f>_xlfn.CONCAT("https://raw.githubusercontent.com/marcelo-pascoal/Semaforos/refs/heads/main/fotosD/",Tabela1[[#This Row],[Foto1]])</f>
        <v>https://raw.githubusercontent.com/marcelo-pascoal/Semaforos/refs/heads/main/fotosD/DSCF7458.JPG</v>
      </c>
      <c r="AD200" s="3" t="str">
        <f>_xlfn.CONCAT("https://raw.githubusercontent.com/marcelo-pascoal/Semaforos/refs/heads/main/fotos/",Tabela1[[#This Row],[id_0]],".jpg")</f>
        <v>https://raw.githubusercontent.com/marcelo-pascoal/Semaforos/refs/heads/main/fotos/91.jpg</v>
      </c>
      <c r="AE200" s="3" t="str">
        <f>_xlfn.CONCAT("https://raw.githubusercontent.com/marcelo-pascoal/Semaforos/refs/heads/main/fotosD/",Tabela1[[#This Row],[id_0]],".jpg")</f>
        <v>https://raw.githubusercontent.com/marcelo-pascoal/Semaforos/refs/heads/main/fotosD/91.jpg</v>
      </c>
      <c r="AF200" s="3">
        <v>1</v>
      </c>
    </row>
    <row r="201" spans="1:32" ht="250" customHeight="1" x14ac:dyDescent="0.35">
      <c r="A201" s="2" t="s">
        <v>697</v>
      </c>
      <c r="B201" s="5">
        <v>462</v>
      </c>
      <c r="C201" s="2" t="s">
        <v>708</v>
      </c>
      <c r="D201" s="1" t="s">
        <v>60</v>
      </c>
      <c r="E201" s="2" t="s">
        <v>1148</v>
      </c>
      <c r="F201" s="2" t="s">
        <v>710</v>
      </c>
      <c r="G201" s="1" t="s">
        <v>1145</v>
      </c>
      <c r="H201" s="1" t="s">
        <v>1146</v>
      </c>
      <c r="I201" s="1" t="s">
        <v>709</v>
      </c>
      <c r="J201" s="2" t="s">
        <v>700</v>
      </c>
      <c r="K201" s="2" t="s">
        <v>686</v>
      </c>
      <c r="L201" s="3">
        <v>1</v>
      </c>
      <c r="M201" s="3"/>
      <c r="N201" s="3"/>
      <c r="O201" s="3">
        <v>1</v>
      </c>
      <c r="P201" s="3">
        <v>2</v>
      </c>
      <c r="Q201" s="3">
        <v>2</v>
      </c>
      <c r="R201" s="3"/>
      <c r="S201" s="3"/>
      <c r="T201" s="3"/>
      <c r="U201" s="3"/>
      <c r="V201" s="3">
        <v>1</v>
      </c>
      <c r="W201" s="3" t="s">
        <v>40</v>
      </c>
      <c r="X201" s="3" t="s">
        <v>40</v>
      </c>
      <c r="Y201" s="3" t="s">
        <v>40</v>
      </c>
      <c r="Z201" s="3"/>
      <c r="AA201" s="3" t="s">
        <v>35</v>
      </c>
      <c r="AB201" s="6" t="str">
        <f>HYPERLINK(_xlfn.CONCAT("https://www.google.com/maps/search/",Tabela1[[#This Row],[GPS]]),"##")</f>
        <v>##</v>
      </c>
      <c r="AC201" s="3" t="str">
        <f>_xlfn.CONCAT("https://raw.githubusercontent.com/marcelo-pascoal/Semaforos/refs/heads/main/fotosD/",Tabela1[[#This Row],[Foto1]])</f>
        <v>https://raw.githubusercontent.com/marcelo-pascoal/Semaforos/refs/heads/main/fotosD/DSCF7465.JPG</v>
      </c>
      <c r="AD201" s="3" t="str">
        <f>_xlfn.CONCAT("https://raw.githubusercontent.com/marcelo-pascoal/Semaforos/refs/heads/main/fotos/",Tabela1[[#This Row],[id_0]],".jpg")</f>
        <v>https://raw.githubusercontent.com/marcelo-pascoal/Semaforos/refs/heads/main/fotos/462.jpg</v>
      </c>
      <c r="AE201" s="3" t="str">
        <f>_xlfn.CONCAT("https://raw.githubusercontent.com/marcelo-pascoal/Semaforos/refs/heads/main/fotosD/",Tabela1[[#This Row],[id_0]],".jpg")</f>
        <v>https://raw.githubusercontent.com/marcelo-pascoal/Semaforos/refs/heads/main/fotosD/462.jpg</v>
      </c>
      <c r="AF201" s="3">
        <v>1</v>
      </c>
    </row>
    <row r="202" spans="1:32" ht="250" customHeight="1" x14ac:dyDescent="0.35">
      <c r="A202" s="2" t="s">
        <v>711</v>
      </c>
      <c r="B202" s="5">
        <v>83</v>
      </c>
      <c r="C202" s="2" t="s">
        <v>712</v>
      </c>
      <c r="D202" s="1" t="s">
        <v>60</v>
      </c>
      <c r="E202" s="2" t="s">
        <v>1147</v>
      </c>
      <c r="F202" s="2" t="s">
        <v>716</v>
      </c>
      <c r="G202" s="1" t="s">
        <v>1145</v>
      </c>
      <c r="H202" s="1" t="s">
        <v>1146</v>
      </c>
      <c r="I202" s="1" t="s">
        <v>713</v>
      </c>
      <c r="J202" s="2" t="s">
        <v>714</v>
      </c>
      <c r="K202" s="2" t="s">
        <v>715</v>
      </c>
      <c r="L202" s="3">
        <v>2</v>
      </c>
      <c r="M202" s="3"/>
      <c r="N202" s="3"/>
      <c r="O202" s="3">
        <v>1</v>
      </c>
      <c r="P202" s="3">
        <v>3</v>
      </c>
      <c r="Q202" s="3">
        <v>3</v>
      </c>
      <c r="R202" s="3"/>
      <c r="S202" s="3"/>
      <c r="T202" s="3"/>
      <c r="U202" s="3">
        <v>1</v>
      </c>
      <c r="V202" s="3">
        <v>1</v>
      </c>
      <c r="W202" s="3" t="s">
        <v>40</v>
      </c>
      <c r="X202" s="3" t="s">
        <v>40</v>
      </c>
      <c r="Y202" s="3"/>
      <c r="Z202" s="3"/>
      <c r="AA202" s="3" t="s">
        <v>35</v>
      </c>
      <c r="AB202" s="6" t="str">
        <f>HYPERLINK(_xlfn.CONCAT("https://www.google.com/maps/search/",Tabela1[[#This Row],[GPS]]),"##")</f>
        <v>##</v>
      </c>
      <c r="AC202" s="3" t="str">
        <f>_xlfn.CONCAT("https://raw.githubusercontent.com/marcelo-pascoal/Semaforos/refs/heads/main/fotosD/",Tabela1[[#This Row],[Foto1]])</f>
        <v>https://raw.githubusercontent.com/marcelo-pascoal/Semaforos/refs/heads/main/fotosD/DSCF7488.JPG</v>
      </c>
      <c r="AD202" s="3" t="str">
        <f>_xlfn.CONCAT("https://raw.githubusercontent.com/marcelo-pascoal/Semaforos/refs/heads/main/fotos/",Tabela1[[#This Row],[id_0]],".jpg")</f>
        <v>https://raw.githubusercontent.com/marcelo-pascoal/Semaforos/refs/heads/main/fotos/83.jpg</v>
      </c>
      <c r="AE202" s="3" t="str">
        <f>_xlfn.CONCAT("https://raw.githubusercontent.com/marcelo-pascoal/Semaforos/refs/heads/main/fotosD/",Tabela1[[#This Row],[id_0]],".jpg")</f>
        <v>https://raw.githubusercontent.com/marcelo-pascoal/Semaforos/refs/heads/main/fotosD/83.jpg</v>
      </c>
      <c r="AF202" s="3">
        <v>1</v>
      </c>
    </row>
    <row r="203" spans="1:32" ht="250" customHeight="1" x14ac:dyDescent="0.35">
      <c r="A203" s="2" t="s">
        <v>711</v>
      </c>
      <c r="B203" s="5">
        <v>84</v>
      </c>
      <c r="C203" s="2" t="s">
        <v>717</v>
      </c>
      <c r="D203" s="1" t="s">
        <v>38</v>
      </c>
      <c r="E203" s="2" t="s">
        <v>1147</v>
      </c>
      <c r="F203" s="2" t="s">
        <v>720</v>
      </c>
      <c r="G203" s="1" t="s">
        <v>1144</v>
      </c>
      <c r="H203" s="1" t="s">
        <v>1146</v>
      </c>
      <c r="I203" s="1" t="s">
        <v>718</v>
      </c>
      <c r="J203" s="2" t="s">
        <v>719</v>
      </c>
      <c r="K203" s="2" t="s">
        <v>715</v>
      </c>
      <c r="L203" s="3"/>
      <c r="M203" s="3"/>
      <c r="N203" s="3"/>
      <c r="O203" s="3">
        <v>1</v>
      </c>
      <c r="P203" s="3">
        <v>1</v>
      </c>
      <c r="Q203" s="3">
        <v>1</v>
      </c>
      <c r="R203" s="3">
        <v>1</v>
      </c>
      <c r="S203" s="3">
        <v>1</v>
      </c>
      <c r="T203" s="3">
        <v>1</v>
      </c>
      <c r="U203" s="3"/>
      <c r="V203" s="3"/>
      <c r="W203" s="3"/>
      <c r="X203" s="3"/>
      <c r="Y203" s="3"/>
      <c r="Z203" s="3"/>
      <c r="AA203" s="3" t="s">
        <v>35</v>
      </c>
      <c r="AB203" s="6" t="str">
        <f>HYPERLINK(_xlfn.CONCAT("https://www.google.com/maps/search/",Tabela1[[#This Row],[GPS]]),"##")</f>
        <v>##</v>
      </c>
      <c r="AC203" s="3" t="str">
        <f>_xlfn.CONCAT("https://raw.githubusercontent.com/marcelo-pascoal/Semaforos/refs/heads/main/fotosD/",Tabela1[[#This Row],[Foto1]])</f>
        <v>https://raw.githubusercontent.com/marcelo-pascoal/Semaforos/refs/heads/main/fotosD/DSCF7475.JPG</v>
      </c>
      <c r="AD203" s="3" t="str">
        <f>_xlfn.CONCAT("https://raw.githubusercontent.com/marcelo-pascoal/Semaforos/refs/heads/main/fotos/",Tabela1[[#This Row],[id_0]],".jpg")</f>
        <v>https://raw.githubusercontent.com/marcelo-pascoal/Semaforos/refs/heads/main/fotos/84.jpg</v>
      </c>
      <c r="AE203" s="3" t="str">
        <f>_xlfn.CONCAT("https://raw.githubusercontent.com/marcelo-pascoal/Semaforos/refs/heads/main/fotosD/",Tabela1[[#This Row],[id_0]],".jpg")</f>
        <v>https://raw.githubusercontent.com/marcelo-pascoal/Semaforos/refs/heads/main/fotosD/84.jpg</v>
      </c>
      <c r="AF203" s="3">
        <v>1</v>
      </c>
    </row>
    <row r="204" spans="1:32" ht="250" customHeight="1" x14ac:dyDescent="0.35">
      <c r="A204" s="2" t="s">
        <v>711</v>
      </c>
      <c r="B204" s="5">
        <v>85</v>
      </c>
      <c r="C204" s="2" t="s">
        <v>721</v>
      </c>
      <c r="D204" s="1" t="s">
        <v>38</v>
      </c>
      <c r="E204" s="2" t="s">
        <v>1147</v>
      </c>
      <c r="F204" s="2" t="s">
        <v>723</v>
      </c>
      <c r="G204" s="1" t="s">
        <v>1144</v>
      </c>
      <c r="H204" s="1" t="s">
        <v>1146</v>
      </c>
      <c r="I204" s="1" t="s">
        <v>722</v>
      </c>
      <c r="J204" s="2" t="s">
        <v>240</v>
      </c>
      <c r="K204" s="2" t="s">
        <v>715</v>
      </c>
      <c r="L204" s="3"/>
      <c r="M204" s="3"/>
      <c r="N204" s="3"/>
      <c r="O204" s="3">
        <v>1</v>
      </c>
      <c r="P204" s="3">
        <v>1</v>
      </c>
      <c r="Q204" s="3">
        <v>1</v>
      </c>
      <c r="R204" s="3">
        <v>1</v>
      </c>
      <c r="S204" s="3">
        <v>1</v>
      </c>
      <c r="T204" s="3">
        <v>1</v>
      </c>
      <c r="U204" s="3"/>
      <c r="V204" s="3"/>
      <c r="W204" s="3"/>
      <c r="X204" s="3"/>
      <c r="Y204" s="3"/>
      <c r="Z204" s="3"/>
      <c r="AA204" s="3" t="s">
        <v>35</v>
      </c>
      <c r="AB204" s="6" t="str">
        <f>HYPERLINK(_xlfn.CONCAT("https://www.google.com/maps/search/",Tabela1[[#This Row],[GPS]]),"##")</f>
        <v>##</v>
      </c>
      <c r="AC204" s="3" t="str">
        <f>_xlfn.CONCAT("https://raw.githubusercontent.com/marcelo-pascoal/Semaforos/refs/heads/main/fotosD/",Tabela1[[#This Row],[Foto1]])</f>
        <v>https://raw.githubusercontent.com/marcelo-pascoal/Semaforos/refs/heads/main/fotosD/DSCF7474.JPG</v>
      </c>
      <c r="AD204" s="3" t="str">
        <f>_xlfn.CONCAT("https://raw.githubusercontent.com/marcelo-pascoal/Semaforos/refs/heads/main/fotos/",Tabela1[[#This Row],[id_0]],".jpg")</f>
        <v>https://raw.githubusercontent.com/marcelo-pascoal/Semaforos/refs/heads/main/fotos/85.jpg</v>
      </c>
      <c r="AE204" s="3" t="str">
        <f>_xlfn.CONCAT("https://raw.githubusercontent.com/marcelo-pascoal/Semaforos/refs/heads/main/fotosD/",Tabela1[[#This Row],[id_0]],".jpg")</f>
        <v>https://raw.githubusercontent.com/marcelo-pascoal/Semaforos/refs/heads/main/fotosD/85.jpg</v>
      </c>
      <c r="AF204" s="3">
        <v>1</v>
      </c>
    </row>
    <row r="205" spans="1:32" ht="250" customHeight="1" x14ac:dyDescent="0.35">
      <c r="A205" s="2" t="s">
        <v>711</v>
      </c>
      <c r="B205" s="5">
        <v>86</v>
      </c>
      <c r="C205" s="2" t="s">
        <v>724</v>
      </c>
      <c r="D205" s="1" t="s">
        <v>60</v>
      </c>
      <c r="E205" s="2" t="s">
        <v>1147</v>
      </c>
      <c r="F205" s="2" t="s">
        <v>726</v>
      </c>
      <c r="G205" s="1" t="s">
        <v>1145</v>
      </c>
      <c r="H205" s="1" t="s">
        <v>1146</v>
      </c>
      <c r="I205" s="1" t="s">
        <v>725</v>
      </c>
      <c r="J205" s="2" t="s">
        <v>714</v>
      </c>
      <c r="K205" s="2" t="s">
        <v>715</v>
      </c>
      <c r="L205" s="3">
        <v>1</v>
      </c>
      <c r="M205" s="3"/>
      <c r="N205" s="3"/>
      <c r="O205" s="3">
        <v>1</v>
      </c>
      <c r="P205" s="3">
        <v>2</v>
      </c>
      <c r="Q205" s="3">
        <v>2</v>
      </c>
      <c r="R205" s="3"/>
      <c r="S205" s="3"/>
      <c r="T205" s="3"/>
      <c r="U205" s="3"/>
      <c r="V205" s="3"/>
      <c r="W205" s="3"/>
      <c r="X205" s="3"/>
      <c r="Y205" s="3"/>
      <c r="Z205" s="3"/>
      <c r="AA205" s="3" t="s">
        <v>35</v>
      </c>
      <c r="AB205" s="6" t="str">
        <f>HYPERLINK(_xlfn.CONCAT("https://www.google.com/maps/search/",Tabela1[[#This Row],[GPS]]),"##")</f>
        <v>##</v>
      </c>
      <c r="AC205" s="3" t="str">
        <f>_xlfn.CONCAT("https://raw.githubusercontent.com/marcelo-pascoal/Semaforos/refs/heads/main/fotosD/",Tabela1[[#This Row],[Foto1]])</f>
        <v>https://raw.githubusercontent.com/marcelo-pascoal/Semaforos/refs/heads/main/fotosD/DSCF7493.JPG</v>
      </c>
      <c r="AD205" s="3" t="str">
        <f>_xlfn.CONCAT("https://raw.githubusercontent.com/marcelo-pascoal/Semaforos/refs/heads/main/fotos/",Tabela1[[#This Row],[id_0]],".jpg")</f>
        <v>https://raw.githubusercontent.com/marcelo-pascoal/Semaforos/refs/heads/main/fotos/86.jpg</v>
      </c>
      <c r="AE205" s="3" t="str">
        <f>_xlfn.CONCAT("https://raw.githubusercontent.com/marcelo-pascoal/Semaforos/refs/heads/main/fotosD/",Tabela1[[#This Row],[id_0]],".jpg")</f>
        <v>https://raw.githubusercontent.com/marcelo-pascoal/Semaforos/refs/heads/main/fotosD/86.jpg</v>
      </c>
      <c r="AF205" s="3">
        <v>1</v>
      </c>
    </row>
    <row r="206" spans="1:32" ht="250" customHeight="1" x14ac:dyDescent="0.35">
      <c r="A206" s="2" t="s">
        <v>711</v>
      </c>
      <c r="B206" s="5">
        <v>87</v>
      </c>
      <c r="C206" s="2" t="s">
        <v>727</v>
      </c>
      <c r="D206" s="1" t="s">
        <v>60</v>
      </c>
      <c r="E206" s="2" t="s">
        <v>1147</v>
      </c>
      <c r="F206" s="2" t="s">
        <v>729</v>
      </c>
      <c r="G206" s="1" t="s">
        <v>1145</v>
      </c>
      <c r="H206" s="1" t="s">
        <v>1146</v>
      </c>
      <c r="I206" s="1" t="s">
        <v>728</v>
      </c>
      <c r="J206" s="2" t="s">
        <v>714</v>
      </c>
      <c r="K206" s="2" t="s">
        <v>715</v>
      </c>
      <c r="L206" s="3">
        <v>1</v>
      </c>
      <c r="M206" s="3"/>
      <c r="N206" s="3"/>
      <c r="O206" s="3">
        <v>1</v>
      </c>
      <c r="P206" s="3">
        <v>3</v>
      </c>
      <c r="Q206" s="3">
        <v>2</v>
      </c>
      <c r="R206" s="3"/>
      <c r="S206" s="3"/>
      <c r="T206" s="3"/>
      <c r="U206" s="3"/>
      <c r="V206" s="3"/>
      <c r="W206" s="3"/>
      <c r="X206" s="3"/>
      <c r="Y206" s="3" t="s">
        <v>40</v>
      </c>
      <c r="Z206" s="3"/>
      <c r="AA206" s="3" t="s">
        <v>35</v>
      </c>
      <c r="AB206" s="6" t="str">
        <f>HYPERLINK(_xlfn.CONCAT("https://www.google.com/maps/search/",Tabela1[[#This Row],[GPS]]),"##")</f>
        <v>##</v>
      </c>
      <c r="AC206" s="3" t="str">
        <f>_xlfn.CONCAT("https://raw.githubusercontent.com/marcelo-pascoal/Semaforos/refs/heads/main/fotosD/",Tabela1[[#This Row],[Foto1]])</f>
        <v>https://raw.githubusercontent.com/marcelo-pascoal/Semaforos/refs/heads/main/fotosD/DSCF7482.JPG</v>
      </c>
      <c r="AD206" s="3" t="str">
        <f>_xlfn.CONCAT("https://raw.githubusercontent.com/marcelo-pascoal/Semaforos/refs/heads/main/fotos/",Tabela1[[#This Row],[id_0]],".jpg")</f>
        <v>https://raw.githubusercontent.com/marcelo-pascoal/Semaforos/refs/heads/main/fotos/87.jpg</v>
      </c>
      <c r="AE206" s="3" t="str">
        <f>_xlfn.CONCAT("https://raw.githubusercontent.com/marcelo-pascoal/Semaforos/refs/heads/main/fotosD/",Tabela1[[#This Row],[id_0]],".jpg")</f>
        <v>https://raw.githubusercontent.com/marcelo-pascoal/Semaforos/refs/heads/main/fotosD/87.jpg</v>
      </c>
      <c r="AF206" s="3">
        <v>1</v>
      </c>
    </row>
    <row r="207" spans="1:32" ht="250" customHeight="1" x14ac:dyDescent="0.35">
      <c r="A207" s="2" t="s">
        <v>711</v>
      </c>
      <c r="B207" s="5">
        <v>88</v>
      </c>
      <c r="C207" s="2" t="s">
        <v>730</v>
      </c>
      <c r="D207" s="1" t="s">
        <v>31</v>
      </c>
      <c r="E207" s="2" t="s">
        <v>1147</v>
      </c>
      <c r="F207" s="2" t="s">
        <v>732</v>
      </c>
      <c r="G207" s="1" t="s">
        <v>1144</v>
      </c>
      <c r="H207" s="1" t="s">
        <v>31</v>
      </c>
      <c r="I207" s="1" t="s">
        <v>731</v>
      </c>
      <c r="J207" s="2" t="s">
        <v>714</v>
      </c>
      <c r="K207" s="2" t="s">
        <v>715</v>
      </c>
      <c r="L207" s="3"/>
      <c r="M207" s="3">
        <v>2</v>
      </c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 t="s">
        <v>35</v>
      </c>
      <c r="AB207" s="6" t="str">
        <f>HYPERLINK(_xlfn.CONCAT("https://www.google.com/maps/search/",Tabela1[[#This Row],[GPS]]),"##")</f>
        <v>##</v>
      </c>
      <c r="AC207" s="3" t="str">
        <f>_xlfn.CONCAT("https://raw.githubusercontent.com/marcelo-pascoal/Semaforos/refs/heads/main/fotosD/",Tabela1[[#This Row],[Foto1]])</f>
        <v>https://raw.githubusercontent.com/marcelo-pascoal/Semaforos/refs/heads/main/fotosD/DSCF7485.JPG</v>
      </c>
      <c r="AD207" s="3" t="str">
        <f>_xlfn.CONCAT("https://raw.githubusercontent.com/marcelo-pascoal/Semaforos/refs/heads/main/fotos/",Tabela1[[#This Row],[id_0]],".jpg")</f>
        <v>https://raw.githubusercontent.com/marcelo-pascoal/Semaforos/refs/heads/main/fotos/88.jpg</v>
      </c>
      <c r="AE207" s="3" t="str">
        <f>_xlfn.CONCAT("https://raw.githubusercontent.com/marcelo-pascoal/Semaforos/refs/heads/main/fotosD/",Tabela1[[#This Row],[id_0]],".jpg")</f>
        <v>https://raw.githubusercontent.com/marcelo-pascoal/Semaforos/refs/heads/main/fotosD/88.jpg</v>
      </c>
      <c r="AF207" s="3">
        <v>1</v>
      </c>
    </row>
    <row r="208" spans="1:32" ht="250" customHeight="1" x14ac:dyDescent="0.35">
      <c r="A208" s="2" t="s">
        <v>711</v>
      </c>
      <c r="B208" s="5">
        <v>463</v>
      </c>
      <c r="C208" s="2" t="s">
        <v>733</v>
      </c>
      <c r="D208" s="1" t="s">
        <v>38</v>
      </c>
      <c r="E208" s="2" t="s">
        <v>1147</v>
      </c>
      <c r="F208" s="2" t="s">
        <v>735</v>
      </c>
      <c r="G208" s="1" t="s">
        <v>1144</v>
      </c>
      <c r="H208" s="1" t="s">
        <v>1146</v>
      </c>
      <c r="I208" s="1" t="s">
        <v>734</v>
      </c>
      <c r="J208" s="2" t="s">
        <v>714</v>
      </c>
      <c r="K208" s="2" t="s">
        <v>715</v>
      </c>
      <c r="L208" s="3"/>
      <c r="M208" s="3"/>
      <c r="N208" s="3"/>
      <c r="O208" s="3">
        <v>1</v>
      </c>
      <c r="P208" s="3">
        <v>1</v>
      </c>
      <c r="Q208" s="3">
        <v>1</v>
      </c>
      <c r="R208" s="3"/>
      <c r="S208" s="3"/>
      <c r="T208" s="3"/>
      <c r="U208" s="3">
        <v>1</v>
      </c>
      <c r="V208" s="3">
        <v>1</v>
      </c>
      <c r="W208" s="3" t="s">
        <v>40</v>
      </c>
      <c r="X208" s="3" t="s">
        <v>40</v>
      </c>
      <c r="Y208" s="3"/>
      <c r="Z208" s="3"/>
      <c r="AA208" s="3" t="s">
        <v>35</v>
      </c>
      <c r="AB208" s="6" t="str">
        <f>HYPERLINK(_xlfn.CONCAT("https://www.google.com/maps/search/",Tabela1[[#This Row],[GPS]]),"##")</f>
        <v>##</v>
      </c>
      <c r="AC208" s="3" t="str">
        <f>_xlfn.CONCAT("https://raw.githubusercontent.com/marcelo-pascoal/Semaforos/refs/heads/main/fotosD/",Tabela1[[#This Row],[Foto1]])</f>
        <v>https://raw.githubusercontent.com/marcelo-pascoal/Semaforos/refs/heads/main/fotosD/DSCF7490.JPG</v>
      </c>
      <c r="AD208" s="3" t="str">
        <f>_xlfn.CONCAT("https://raw.githubusercontent.com/marcelo-pascoal/Semaforos/refs/heads/main/fotos/",Tabela1[[#This Row],[id_0]],".jpg")</f>
        <v>https://raw.githubusercontent.com/marcelo-pascoal/Semaforos/refs/heads/main/fotos/463.jpg</v>
      </c>
      <c r="AE208" s="3" t="str">
        <f>_xlfn.CONCAT("https://raw.githubusercontent.com/marcelo-pascoal/Semaforos/refs/heads/main/fotosD/",Tabela1[[#This Row],[id_0]],".jpg")</f>
        <v>https://raw.githubusercontent.com/marcelo-pascoal/Semaforos/refs/heads/main/fotosD/463.jpg</v>
      </c>
      <c r="AF208" s="3">
        <v>1</v>
      </c>
    </row>
    <row r="209" spans="1:32" ht="250" customHeight="1" x14ac:dyDescent="0.35">
      <c r="A209" s="2" t="s">
        <v>736</v>
      </c>
      <c r="B209" s="5">
        <v>80</v>
      </c>
      <c r="C209" s="2" t="s">
        <v>737</v>
      </c>
      <c r="D209" s="1" t="s">
        <v>38</v>
      </c>
      <c r="E209" s="2" t="s">
        <v>1147</v>
      </c>
      <c r="F209" s="2" t="s">
        <v>739</v>
      </c>
      <c r="G209" s="1" t="s">
        <v>1144</v>
      </c>
      <c r="H209" s="1" t="s">
        <v>1146</v>
      </c>
      <c r="I209" s="1" t="s">
        <v>738</v>
      </c>
      <c r="J209" s="2" t="s">
        <v>714</v>
      </c>
      <c r="K209" s="2" t="s">
        <v>715</v>
      </c>
      <c r="L209" s="3"/>
      <c r="M209" s="3"/>
      <c r="N209" s="3"/>
      <c r="O209" s="3">
        <v>1</v>
      </c>
      <c r="P209" s="3">
        <v>1</v>
      </c>
      <c r="Q209" s="3">
        <v>1</v>
      </c>
      <c r="R209" s="3"/>
      <c r="S209" s="3"/>
      <c r="T209" s="3"/>
      <c r="U209" s="3">
        <v>1</v>
      </c>
      <c r="V209" s="3">
        <v>1</v>
      </c>
      <c r="W209" s="3" t="s">
        <v>40</v>
      </c>
      <c r="X209" s="3" t="s">
        <v>40</v>
      </c>
      <c r="Y209" s="3"/>
      <c r="Z209" s="3"/>
      <c r="AA209" s="3" t="s">
        <v>35</v>
      </c>
      <c r="AB209" s="6" t="str">
        <f>HYPERLINK(_xlfn.CONCAT("https://www.google.com/maps/search/",Tabela1[[#This Row],[GPS]]),"##")</f>
        <v>##</v>
      </c>
      <c r="AC209" s="3" t="str">
        <f>_xlfn.CONCAT("https://raw.githubusercontent.com/marcelo-pascoal/Semaforos/refs/heads/main/fotosD/",Tabela1[[#This Row],[Foto1]])</f>
        <v>https://raw.githubusercontent.com/marcelo-pascoal/Semaforos/refs/heads/main/fotosD/DSCF7498.JPG</v>
      </c>
      <c r="AD209" s="3" t="str">
        <f>_xlfn.CONCAT("https://raw.githubusercontent.com/marcelo-pascoal/Semaforos/refs/heads/main/fotos/",Tabela1[[#This Row],[id_0]],".jpg")</f>
        <v>https://raw.githubusercontent.com/marcelo-pascoal/Semaforos/refs/heads/main/fotos/80.jpg</v>
      </c>
      <c r="AE209" s="3" t="str">
        <f>_xlfn.CONCAT("https://raw.githubusercontent.com/marcelo-pascoal/Semaforos/refs/heads/main/fotosD/",Tabela1[[#This Row],[id_0]],".jpg")</f>
        <v>https://raw.githubusercontent.com/marcelo-pascoal/Semaforos/refs/heads/main/fotosD/80.jpg</v>
      </c>
      <c r="AF209" s="3">
        <v>5</v>
      </c>
    </row>
    <row r="210" spans="1:32" ht="250" customHeight="1" x14ac:dyDescent="0.35">
      <c r="A210" s="2" t="s">
        <v>736</v>
      </c>
      <c r="B210" s="5">
        <v>81</v>
      </c>
      <c r="C210" s="2" t="s">
        <v>740</v>
      </c>
      <c r="D210" s="1" t="s">
        <v>60</v>
      </c>
      <c r="E210" s="2" t="s">
        <v>1147</v>
      </c>
      <c r="F210" s="2" t="s">
        <v>742</v>
      </c>
      <c r="G210" s="1" t="s">
        <v>1145</v>
      </c>
      <c r="H210" s="1" t="s">
        <v>1146</v>
      </c>
      <c r="I210" s="1" t="s">
        <v>741</v>
      </c>
      <c r="J210" s="2" t="s">
        <v>714</v>
      </c>
      <c r="K210" s="2" t="s">
        <v>715</v>
      </c>
      <c r="L210" s="3">
        <v>1</v>
      </c>
      <c r="M210" s="3"/>
      <c r="N210" s="3"/>
      <c r="O210" s="3">
        <v>1</v>
      </c>
      <c r="P210" s="3">
        <v>2</v>
      </c>
      <c r="Q210" s="3">
        <v>2</v>
      </c>
      <c r="R210" s="3"/>
      <c r="S210" s="3"/>
      <c r="T210" s="3"/>
      <c r="U210" s="3">
        <v>1</v>
      </c>
      <c r="V210" s="3">
        <v>1</v>
      </c>
      <c r="W210" s="3" t="s">
        <v>40</v>
      </c>
      <c r="X210" s="3" t="s">
        <v>40</v>
      </c>
      <c r="Y210" s="3" t="s">
        <v>40</v>
      </c>
      <c r="Z210" s="3"/>
      <c r="AA210" s="3" t="s">
        <v>35</v>
      </c>
      <c r="AB210" s="6" t="str">
        <f>HYPERLINK(_xlfn.CONCAT("https://www.google.com/maps/search/",Tabela1[[#This Row],[GPS]]),"##")</f>
        <v>##</v>
      </c>
      <c r="AC210" s="3" t="str">
        <f>_xlfn.CONCAT("https://raw.githubusercontent.com/marcelo-pascoal/Semaforos/refs/heads/main/fotosD/",Tabela1[[#This Row],[Foto1]])</f>
        <v>https://raw.githubusercontent.com/marcelo-pascoal/Semaforos/refs/heads/main/fotosD/DSCF7501.JPG</v>
      </c>
      <c r="AD210" s="3" t="str">
        <f>_xlfn.CONCAT("https://raw.githubusercontent.com/marcelo-pascoal/Semaforos/refs/heads/main/fotos/",Tabela1[[#This Row],[id_0]],".jpg")</f>
        <v>https://raw.githubusercontent.com/marcelo-pascoal/Semaforos/refs/heads/main/fotos/81.jpg</v>
      </c>
      <c r="AE210" s="3" t="str">
        <f>_xlfn.CONCAT("https://raw.githubusercontent.com/marcelo-pascoal/Semaforos/refs/heads/main/fotosD/",Tabela1[[#This Row],[id_0]],".jpg")</f>
        <v>https://raw.githubusercontent.com/marcelo-pascoal/Semaforos/refs/heads/main/fotosD/81.jpg</v>
      </c>
      <c r="AF210" s="3">
        <v>5</v>
      </c>
    </row>
    <row r="211" spans="1:32" ht="250" customHeight="1" x14ac:dyDescent="0.35">
      <c r="A211" s="2" t="s">
        <v>736</v>
      </c>
      <c r="B211" s="5">
        <v>82</v>
      </c>
      <c r="C211" s="2" t="s">
        <v>743</v>
      </c>
      <c r="D211" s="1" t="s">
        <v>31</v>
      </c>
      <c r="F211" s="2" t="s">
        <v>745</v>
      </c>
      <c r="G211" s="1" t="s">
        <v>1144</v>
      </c>
      <c r="H211" s="1" t="s">
        <v>31</v>
      </c>
      <c r="I211" s="1" t="s">
        <v>744</v>
      </c>
      <c r="J211" s="2" t="s">
        <v>714</v>
      </c>
      <c r="K211" s="2" t="s">
        <v>715</v>
      </c>
      <c r="L211" s="3"/>
      <c r="M211" s="3">
        <v>0</v>
      </c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 t="s">
        <v>35</v>
      </c>
      <c r="AB211" s="6" t="str">
        <f>HYPERLINK(_xlfn.CONCAT("https://www.google.com/maps/search/",Tabela1[[#This Row],[GPS]]),"##")</f>
        <v>##</v>
      </c>
      <c r="AC211" s="3" t="str">
        <f>_xlfn.CONCAT("https://raw.githubusercontent.com/marcelo-pascoal/Semaforos/refs/heads/main/fotosD/",Tabela1[[#This Row],[Foto1]])</f>
        <v>https://raw.githubusercontent.com/marcelo-pascoal/Semaforos/refs/heads/main/fotosD/DSCF7507.JPG</v>
      </c>
      <c r="AD211" s="3" t="str">
        <f>_xlfn.CONCAT("https://raw.githubusercontent.com/marcelo-pascoal/Semaforos/refs/heads/main/fotos/",Tabela1[[#This Row],[id_0]],".jpg")</f>
        <v>https://raw.githubusercontent.com/marcelo-pascoal/Semaforos/refs/heads/main/fotos/82.jpg</v>
      </c>
      <c r="AE211" s="3" t="str">
        <f>_xlfn.CONCAT("https://raw.githubusercontent.com/marcelo-pascoal/Semaforos/refs/heads/main/fotosD/",Tabela1[[#This Row],[id_0]],".jpg")</f>
        <v>https://raw.githubusercontent.com/marcelo-pascoal/Semaforos/refs/heads/main/fotosD/82.jpg</v>
      </c>
      <c r="AF211" s="3">
        <v>5</v>
      </c>
    </row>
    <row r="212" spans="1:32" ht="250" customHeight="1" x14ac:dyDescent="0.35">
      <c r="A212" s="2" t="s">
        <v>746</v>
      </c>
      <c r="B212" s="5">
        <v>77</v>
      </c>
      <c r="C212" s="2" t="s">
        <v>747</v>
      </c>
      <c r="D212" s="1" t="s">
        <v>31</v>
      </c>
      <c r="E212" s="2" t="s">
        <v>1147</v>
      </c>
      <c r="F212" s="2" t="s">
        <v>750</v>
      </c>
      <c r="G212" s="1" t="s">
        <v>1144</v>
      </c>
      <c r="H212" s="1" t="s">
        <v>31</v>
      </c>
      <c r="I212" s="1" t="s">
        <v>748</v>
      </c>
      <c r="J212" s="2" t="s">
        <v>749</v>
      </c>
      <c r="K212" s="2" t="s">
        <v>715</v>
      </c>
      <c r="L212" s="3"/>
      <c r="M212" s="3">
        <v>1</v>
      </c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 t="s">
        <v>35</v>
      </c>
      <c r="AB212" s="6" t="str">
        <f>HYPERLINK(_xlfn.CONCAT("https://www.google.com/maps/search/",Tabela1[[#This Row],[GPS]]),"##")</f>
        <v>##</v>
      </c>
      <c r="AC212" s="3" t="str">
        <f>_xlfn.CONCAT("https://raw.githubusercontent.com/marcelo-pascoal/Semaforos/refs/heads/main/fotosD/",Tabela1[[#This Row],[Foto1]])</f>
        <v>https://raw.githubusercontent.com/marcelo-pascoal/Semaforos/refs/heads/main/fotosD/DSCF7526.JPG</v>
      </c>
      <c r="AD212" s="3" t="str">
        <f>_xlfn.CONCAT("https://raw.githubusercontent.com/marcelo-pascoal/Semaforos/refs/heads/main/fotos/",Tabela1[[#This Row],[id_0]],".jpg")</f>
        <v>https://raw.githubusercontent.com/marcelo-pascoal/Semaforos/refs/heads/main/fotos/77.jpg</v>
      </c>
      <c r="AE212" s="3" t="str">
        <f>_xlfn.CONCAT("https://raw.githubusercontent.com/marcelo-pascoal/Semaforos/refs/heads/main/fotosD/",Tabela1[[#This Row],[id_0]],".jpg")</f>
        <v>https://raw.githubusercontent.com/marcelo-pascoal/Semaforos/refs/heads/main/fotosD/77.jpg</v>
      </c>
      <c r="AF212" s="3">
        <v>1</v>
      </c>
    </row>
    <row r="213" spans="1:32" ht="250" customHeight="1" x14ac:dyDescent="0.35">
      <c r="A213" s="2" t="s">
        <v>746</v>
      </c>
      <c r="B213" s="5">
        <v>78</v>
      </c>
      <c r="C213" s="2" t="s">
        <v>751</v>
      </c>
      <c r="D213" s="1" t="s">
        <v>60</v>
      </c>
      <c r="E213" s="2" t="s">
        <v>1147</v>
      </c>
      <c r="F213" s="2" t="s">
        <v>753</v>
      </c>
      <c r="G213" s="1" t="s">
        <v>1145</v>
      </c>
      <c r="H213" s="1" t="s">
        <v>1146</v>
      </c>
      <c r="I213" s="1" t="s">
        <v>752</v>
      </c>
      <c r="J213" s="2" t="s">
        <v>749</v>
      </c>
      <c r="K213" s="2" t="s">
        <v>715</v>
      </c>
      <c r="L213" s="3">
        <v>2</v>
      </c>
      <c r="M213" s="3"/>
      <c r="N213" s="3"/>
      <c r="O213" s="3">
        <v>2</v>
      </c>
      <c r="P213" s="3">
        <v>4</v>
      </c>
      <c r="Q213" s="3">
        <v>4</v>
      </c>
      <c r="R213" s="3"/>
      <c r="S213" s="3"/>
      <c r="T213" s="3"/>
      <c r="U213" s="3">
        <v>1</v>
      </c>
      <c r="V213" s="3">
        <v>1</v>
      </c>
      <c r="W213" s="3" t="s">
        <v>40</v>
      </c>
      <c r="X213" s="3" t="s">
        <v>40</v>
      </c>
      <c r="Y213" s="3" t="s">
        <v>40</v>
      </c>
      <c r="Z213" s="3"/>
      <c r="AA213" s="3" t="s">
        <v>35</v>
      </c>
      <c r="AB213" s="6" t="str">
        <f>HYPERLINK(_xlfn.CONCAT("https://www.google.com/maps/search/",Tabela1[[#This Row],[GPS]]),"##")</f>
        <v>##</v>
      </c>
      <c r="AC213" s="3" t="str">
        <f>_xlfn.CONCAT("https://raw.githubusercontent.com/marcelo-pascoal/Semaforos/refs/heads/main/fotosD/",Tabela1[[#This Row],[Foto1]])</f>
        <v>https://raw.githubusercontent.com/marcelo-pascoal/Semaforos/refs/heads/main/fotosD/DSCF7518.JPG</v>
      </c>
      <c r="AD213" s="3" t="str">
        <f>_xlfn.CONCAT("https://raw.githubusercontent.com/marcelo-pascoal/Semaforos/refs/heads/main/fotos/",Tabela1[[#This Row],[id_0]],".jpg")</f>
        <v>https://raw.githubusercontent.com/marcelo-pascoal/Semaforos/refs/heads/main/fotos/78.jpg</v>
      </c>
      <c r="AE213" s="3" t="str">
        <f>_xlfn.CONCAT("https://raw.githubusercontent.com/marcelo-pascoal/Semaforos/refs/heads/main/fotosD/",Tabela1[[#This Row],[id_0]],".jpg")</f>
        <v>https://raw.githubusercontent.com/marcelo-pascoal/Semaforos/refs/heads/main/fotosD/78.jpg</v>
      </c>
      <c r="AF213" s="3">
        <v>1</v>
      </c>
    </row>
    <row r="214" spans="1:32" ht="250" customHeight="1" x14ac:dyDescent="0.35">
      <c r="A214" s="2" t="s">
        <v>746</v>
      </c>
      <c r="B214" s="5">
        <v>79</v>
      </c>
      <c r="C214" s="2" t="s">
        <v>754</v>
      </c>
      <c r="D214" s="1" t="s">
        <v>60</v>
      </c>
      <c r="E214" s="2" t="s">
        <v>1147</v>
      </c>
      <c r="F214" s="2" t="s">
        <v>756</v>
      </c>
      <c r="G214" s="1" t="s">
        <v>1145</v>
      </c>
      <c r="H214" s="1" t="s">
        <v>1146</v>
      </c>
      <c r="I214" s="1" t="s">
        <v>755</v>
      </c>
      <c r="J214" s="2" t="s">
        <v>749</v>
      </c>
      <c r="K214" s="2" t="s">
        <v>715</v>
      </c>
      <c r="L214" s="3">
        <v>2</v>
      </c>
      <c r="M214" s="3"/>
      <c r="N214" s="3"/>
      <c r="O214" s="3">
        <v>2</v>
      </c>
      <c r="P214" s="3">
        <v>4</v>
      </c>
      <c r="Q214" s="3">
        <v>4</v>
      </c>
      <c r="R214" s="3"/>
      <c r="S214" s="3"/>
      <c r="T214" s="3"/>
      <c r="U214" s="3"/>
      <c r="V214" s="3"/>
      <c r="W214" s="3"/>
      <c r="X214" s="3"/>
      <c r="Y214" s="3" t="s">
        <v>40</v>
      </c>
      <c r="Z214" s="3"/>
      <c r="AA214" s="3" t="s">
        <v>35</v>
      </c>
      <c r="AB214" s="6" t="str">
        <f>HYPERLINK(_xlfn.CONCAT("https://www.google.com/maps/search/",Tabela1[[#This Row],[GPS]]),"##")</f>
        <v>##</v>
      </c>
      <c r="AC214" s="3" t="str">
        <f>_xlfn.CONCAT("https://raw.githubusercontent.com/marcelo-pascoal/Semaforos/refs/heads/main/fotosD/",Tabela1[[#This Row],[Foto1]])</f>
        <v>https://raw.githubusercontent.com/marcelo-pascoal/Semaforos/refs/heads/main/fotosD/DSCF7512.JPG</v>
      </c>
      <c r="AD214" s="3" t="str">
        <f>_xlfn.CONCAT("https://raw.githubusercontent.com/marcelo-pascoal/Semaforos/refs/heads/main/fotos/",Tabela1[[#This Row],[id_0]],".jpg")</f>
        <v>https://raw.githubusercontent.com/marcelo-pascoal/Semaforos/refs/heads/main/fotos/79.jpg</v>
      </c>
      <c r="AE214" s="3" t="str">
        <f>_xlfn.CONCAT("https://raw.githubusercontent.com/marcelo-pascoal/Semaforos/refs/heads/main/fotosD/",Tabela1[[#This Row],[id_0]],".jpg")</f>
        <v>https://raw.githubusercontent.com/marcelo-pascoal/Semaforos/refs/heads/main/fotosD/79.jpg</v>
      </c>
      <c r="AF214" s="3">
        <v>1</v>
      </c>
    </row>
    <row r="215" spans="1:32" ht="250" customHeight="1" x14ac:dyDescent="0.35">
      <c r="A215" s="2" t="s">
        <v>746</v>
      </c>
      <c r="B215" s="5">
        <v>464</v>
      </c>
      <c r="C215" s="2" t="s">
        <v>757</v>
      </c>
      <c r="D215" s="1" t="s">
        <v>31</v>
      </c>
      <c r="E215" s="2" t="s">
        <v>1147</v>
      </c>
      <c r="F215" s="2" t="s">
        <v>759</v>
      </c>
      <c r="G215" s="1" t="s">
        <v>1144</v>
      </c>
      <c r="H215" s="1" t="s">
        <v>31</v>
      </c>
      <c r="I215" s="1" t="s">
        <v>758</v>
      </c>
      <c r="J215" s="2" t="s">
        <v>714</v>
      </c>
      <c r="K215" s="2" t="s">
        <v>715</v>
      </c>
      <c r="L215" s="3"/>
      <c r="M215" s="3"/>
      <c r="N215" s="3"/>
      <c r="O215" s="3"/>
      <c r="P215" s="3">
        <v>2</v>
      </c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 t="s">
        <v>35</v>
      </c>
      <c r="AB215" s="6" t="str">
        <f>HYPERLINK(_xlfn.CONCAT("https://www.google.com/maps/search/",Tabela1[[#This Row],[GPS]]),"##")</f>
        <v>##</v>
      </c>
      <c r="AC215" s="3" t="str">
        <f>_xlfn.CONCAT("https://raw.githubusercontent.com/marcelo-pascoal/Semaforos/refs/heads/main/fotosD/",Tabela1[[#This Row],[Foto1]])</f>
        <v>https://raw.githubusercontent.com/marcelo-pascoal/Semaforos/refs/heads/main/fotosD/DSCF7508.JPG</v>
      </c>
      <c r="AD215" s="3" t="str">
        <f>_xlfn.CONCAT("https://raw.githubusercontent.com/marcelo-pascoal/Semaforos/refs/heads/main/fotos/",Tabela1[[#This Row],[id_0]],".jpg")</f>
        <v>https://raw.githubusercontent.com/marcelo-pascoal/Semaforos/refs/heads/main/fotos/464.jpg</v>
      </c>
      <c r="AE215" s="3" t="str">
        <f>_xlfn.CONCAT("https://raw.githubusercontent.com/marcelo-pascoal/Semaforos/refs/heads/main/fotosD/",Tabela1[[#This Row],[id_0]],".jpg")</f>
        <v>https://raw.githubusercontent.com/marcelo-pascoal/Semaforos/refs/heads/main/fotosD/464.jpg</v>
      </c>
      <c r="AF215" s="3">
        <v>5</v>
      </c>
    </row>
    <row r="216" spans="1:32" ht="250" customHeight="1" x14ac:dyDescent="0.35">
      <c r="A216" s="2" t="s">
        <v>746</v>
      </c>
      <c r="B216" s="5">
        <v>465</v>
      </c>
      <c r="C216" s="2" t="s">
        <v>760</v>
      </c>
      <c r="D216" s="1" t="s">
        <v>38</v>
      </c>
      <c r="E216" s="2" t="s">
        <v>1147</v>
      </c>
      <c r="F216" s="2" t="s">
        <v>763</v>
      </c>
      <c r="G216" s="1" t="s">
        <v>1144</v>
      </c>
      <c r="H216" s="1" t="s">
        <v>1146</v>
      </c>
      <c r="I216" s="1" t="s">
        <v>761</v>
      </c>
      <c r="J216" s="2" t="s">
        <v>762</v>
      </c>
      <c r="K216" s="2" t="s">
        <v>715</v>
      </c>
      <c r="L216" s="3"/>
      <c r="M216" s="3"/>
      <c r="N216" s="3"/>
      <c r="O216" s="3">
        <v>1</v>
      </c>
      <c r="P216" s="3">
        <v>2</v>
      </c>
      <c r="Q216" s="3">
        <v>1</v>
      </c>
      <c r="R216" s="3">
        <v>1</v>
      </c>
      <c r="S216" s="3">
        <v>1</v>
      </c>
      <c r="T216" s="3">
        <v>1</v>
      </c>
      <c r="U216" s="3"/>
      <c r="V216" s="3"/>
      <c r="W216" s="3"/>
      <c r="X216" s="3"/>
      <c r="Y216" s="3"/>
      <c r="Z216" s="3"/>
      <c r="AA216" s="3" t="s">
        <v>35</v>
      </c>
      <c r="AB216" s="6" t="str">
        <f>HYPERLINK(_xlfn.CONCAT("https://www.google.com/maps/search/",Tabela1[[#This Row],[GPS]]),"##")</f>
        <v>##</v>
      </c>
      <c r="AC216" s="3" t="str">
        <f>_xlfn.CONCAT("https://raw.githubusercontent.com/marcelo-pascoal/Semaforos/refs/heads/main/fotosD/",Tabela1[[#This Row],[Foto1]])</f>
        <v>https://raw.githubusercontent.com/marcelo-pascoal/Semaforos/refs/heads/main/fotosD/DSCF7523.JPG</v>
      </c>
      <c r="AD216" s="3" t="str">
        <f>_xlfn.CONCAT("https://raw.githubusercontent.com/marcelo-pascoal/Semaforos/refs/heads/main/fotos/",Tabela1[[#This Row],[id_0]],".jpg")</f>
        <v>https://raw.githubusercontent.com/marcelo-pascoal/Semaforos/refs/heads/main/fotos/465.jpg</v>
      </c>
      <c r="AE216" s="3" t="str">
        <f>_xlfn.CONCAT("https://raw.githubusercontent.com/marcelo-pascoal/Semaforos/refs/heads/main/fotosD/",Tabela1[[#This Row],[id_0]],".jpg")</f>
        <v>https://raw.githubusercontent.com/marcelo-pascoal/Semaforos/refs/heads/main/fotosD/465.jpg</v>
      </c>
      <c r="AF216" s="3">
        <v>1</v>
      </c>
    </row>
    <row r="217" spans="1:32" ht="250" customHeight="1" x14ac:dyDescent="0.35">
      <c r="A217" s="2" t="s">
        <v>746</v>
      </c>
      <c r="B217" s="5">
        <v>466</v>
      </c>
      <c r="C217" s="2" t="s">
        <v>764</v>
      </c>
      <c r="D217" s="1" t="s">
        <v>38</v>
      </c>
      <c r="E217" s="2" t="s">
        <v>1147</v>
      </c>
      <c r="F217" s="2" t="s">
        <v>766</v>
      </c>
      <c r="G217" s="1" t="s">
        <v>1144</v>
      </c>
      <c r="H217" s="1" t="s">
        <v>1146</v>
      </c>
      <c r="I217" s="1" t="s">
        <v>765</v>
      </c>
      <c r="J217" s="2" t="s">
        <v>240</v>
      </c>
      <c r="K217" s="2" t="s">
        <v>715</v>
      </c>
      <c r="L217" s="3"/>
      <c r="M217" s="3"/>
      <c r="N217" s="3"/>
      <c r="O217" s="3">
        <v>1</v>
      </c>
      <c r="P217" s="3">
        <v>2</v>
      </c>
      <c r="Q217" s="3">
        <v>1</v>
      </c>
      <c r="R217" s="3">
        <v>1</v>
      </c>
      <c r="S217" s="3">
        <v>1</v>
      </c>
      <c r="T217" s="3">
        <v>1</v>
      </c>
      <c r="U217" s="3"/>
      <c r="V217" s="3"/>
      <c r="W217" s="3"/>
      <c r="X217" s="3"/>
      <c r="Y217" s="3"/>
      <c r="Z217" s="3"/>
      <c r="AA217" s="3" t="s">
        <v>35</v>
      </c>
      <c r="AB217" s="6" t="str">
        <f>HYPERLINK(_xlfn.CONCAT("https://www.google.com/maps/search/",Tabela1[[#This Row],[GPS]]),"##")</f>
        <v>##</v>
      </c>
      <c r="AC217" s="3" t="str">
        <f>_xlfn.CONCAT("https://raw.githubusercontent.com/marcelo-pascoal/Semaforos/refs/heads/main/fotosD/",Tabela1[[#This Row],[Foto1]])</f>
        <v>https://raw.githubusercontent.com/marcelo-pascoal/Semaforos/refs/heads/main/fotosD/DSCF7515.JPG</v>
      </c>
      <c r="AD217" s="3" t="str">
        <f>_xlfn.CONCAT("https://raw.githubusercontent.com/marcelo-pascoal/Semaforos/refs/heads/main/fotos/",Tabela1[[#This Row],[id_0]],".jpg")</f>
        <v>https://raw.githubusercontent.com/marcelo-pascoal/Semaforos/refs/heads/main/fotos/466.jpg</v>
      </c>
      <c r="AE217" s="3" t="str">
        <f>_xlfn.CONCAT("https://raw.githubusercontent.com/marcelo-pascoal/Semaforos/refs/heads/main/fotosD/",Tabela1[[#This Row],[id_0]],".jpg")</f>
        <v>https://raw.githubusercontent.com/marcelo-pascoal/Semaforos/refs/heads/main/fotosD/466.jpg</v>
      </c>
      <c r="AF217" s="3">
        <v>5</v>
      </c>
    </row>
    <row r="218" spans="1:32" ht="250" customHeight="1" x14ac:dyDescent="0.35">
      <c r="A218" s="2" t="s">
        <v>746</v>
      </c>
      <c r="B218" s="5">
        <v>467</v>
      </c>
      <c r="C218" s="2" t="s">
        <v>767</v>
      </c>
      <c r="D218" s="1" t="s">
        <v>38</v>
      </c>
      <c r="F218" s="2" t="s">
        <v>769</v>
      </c>
      <c r="G218" s="1" t="s">
        <v>1144</v>
      </c>
      <c r="H218" s="1" t="s">
        <v>1146</v>
      </c>
      <c r="I218" s="1" t="s">
        <v>768</v>
      </c>
      <c r="J218" s="2" t="s">
        <v>749</v>
      </c>
      <c r="K218" s="2" t="s">
        <v>715</v>
      </c>
      <c r="L218" s="3"/>
      <c r="M218" s="3"/>
      <c r="N218" s="3"/>
      <c r="O218" s="3"/>
      <c r="P218" s="3">
        <v>1</v>
      </c>
      <c r="Q218" s="3"/>
      <c r="R218" s="3"/>
      <c r="S218" s="3"/>
      <c r="T218" s="3"/>
      <c r="U218" s="3">
        <v>1</v>
      </c>
      <c r="V218" s="3">
        <v>1</v>
      </c>
      <c r="W218" s="3" t="s">
        <v>40</v>
      </c>
      <c r="X218" s="3" t="s">
        <v>40</v>
      </c>
      <c r="Y218" s="3"/>
      <c r="Z218" s="3"/>
      <c r="AA218" s="3" t="s">
        <v>35</v>
      </c>
      <c r="AB218" s="6" t="str">
        <f>HYPERLINK(_xlfn.CONCAT("https://www.google.com/maps/search/",Tabela1[[#This Row],[GPS]]),"##")</f>
        <v>##</v>
      </c>
      <c r="AC218" s="3" t="str">
        <f>_xlfn.CONCAT("https://raw.githubusercontent.com/marcelo-pascoal/Semaforos/refs/heads/main/fotosD/",Tabela1[[#This Row],[Foto1]])</f>
        <v>https://raw.githubusercontent.com/marcelo-pascoal/Semaforos/refs/heads/main/fotosD/DSCF7516.JPG</v>
      </c>
      <c r="AD218" s="3" t="str">
        <f>_xlfn.CONCAT("https://raw.githubusercontent.com/marcelo-pascoal/Semaforos/refs/heads/main/fotos/",Tabela1[[#This Row],[id_0]],".jpg")</f>
        <v>https://raw.githubusercontent.com/marcelo-pascoal/Semaforos/refs/heads/main/fotos/467.jpg</v>
      </c>
      <c r="AE218" s="3" t="str">
        <f>_xlfn.CONCAT("https://raw.githubusercontent.com/marcelo-pascoal/Semaforos/refs/heads/main/fotosD/",Tabela1[[#This Row],[id_0]],".jpg")</f>
        <v>https://raw.githubusercontent.com/marcelo-pascoal/Semaforos/refs/heads/main/fotosD/467.jpg</v>
      </c>
      <c r="AF218" s="3">
        <v>1</v>
      </c>
    </row>
    <row r="219" spans="1:32" ht="250" customHeight="1" x14ac:dyDescent="0.35">
      <c r="A219" s="2" t="s">
        <v>770</v>
      </c>
      <c r="B219" s="5">
        <v>73</v>
      </c>
      <c r="C219" s="2" t="s">
        <v>771</v>
      </c>
      <c r="D219" s="1" t="s">
        <v>38</v>
      </c>
      <c r="E219" s="2" t="s">
        <v>1147</v>
      </c>
      <c r="F219" s="2" t="s">
        <v>774</v>
      </c>
      <c r="G219" s="1" t="s">
        <v>1144</v>
      </c>
      <c r="H219" s="1" t="s">
        <v>1146</v>
      </c>
      <c r="I219" s="1" t="s">
        <v>772</v>
      </c>
      <c r="J219" s="2" t="s">
        <v>773</v>
      </c>
      <c r="K219" s="2" t="s">
        <v>715</v>
      </c>
      <c r="L219" s="3"/>
      <c r="M219" s="3"/>
      <c r="N219" s="3"/>
      <c r="O219" s="3">
        <v>1</v>
      </c>
      <c r="P219" s="3">
        <v>1</v>
      </c>
      <c r="Q219" s="3">
        <v>1</v>
      </c>
      <c r="R219" s="3">
        <v>1</v>
      </c>
      <c r="S219" s="3">
        <v>1</v>
      </c>
      <c r="T219" s="3">
        <v>1</v>
      </c>
      <c r="U219" s="3">
        <v>1</v>
      </c>
      <c r="V219" s="3">
        <v>1</v>
      </c>
      <c r="W219" s="3" t="s">
        <v>40</v>
      </c>
      <c r="X219" s="3"/>
      <c r="Y219" s="3"/>
      <c r="Z219" s="3"/>
      <c r="AA219" s="3" t="s">
        <v>35</v>
      </c>
      <c r="AB219" s="6" t="str">
        <f>HYPERLINK(_xlfn.CONCAT("https://www.google.com/maps/search/",Tabela1[[#This Row],[GPS]]),"##")</f>
        <v>##</v>
      </c>
      <c r="AC219" s="3" t="str">
        <f>_xlfn.CONCAT("https://raw.githubusercontent.com/marcelo-pascoal/Semaforos/refs/heads/main/fotosD/",Tabela1[[#This Row],[Foto1]])</f>
        <v>https://raw.githubusercontent.com/marcelo-pascoal/Semaforos/refs/heads/main/fotosD/DSCF7533.JPG</v>
      </c>
      <c r="AD219" s="3" t="str">
        <f>_xlfn.CONCAT("https://raw.githubusercontent.com/marcelo-pascoal/Semaforos/refs/heads/main/fotos/",Tabela1[[#This Row],[id_0]],".jpg")</f>
        <v>https://raw.githubusercontent.com/marcelo-pascoal/Semaforos/refs/heads/main/fotos/73.jpg</v>
      </c>
      <c r="AE219" s="3" t="str">
        <f>_xlfn.CONCAT("https://raw.githubusercontent.com/marcelo-pascoal/Semaforos/refs/heads/main/fotosD/",Tabela1[[#This Row],[id_0]],".jpg")</f>
        <v>https://raw.githubusercontent.com/marcelo-pascoal/Semaforos/refs/heads/main/fotosD/73.jpg</v>
      </c>
      <c r="AF219" s="3">
        <v>1</v>
      </c>
    </row>
    <row r="220" spans="1:32" ht="250" customHeight="1" x14ac:dyDescent="0.35">
      <c r="A220" s="2" t="s">
        <v>770</v>
      </c>
      <c r="B220" s="5">
        <v>74</v>
      </c>
      <c r="C220" s="2" t="s">
        <v>775</v>
      </c>
      <c r="D220" s="1" t="s">
        <v>60</v>
      </c>
      <c r="E220" s="2" t="s">
        <v>1147</v>
      </c>
      <c r="F220" s="2" t="s">
        <v>777</v>
      </c>
      <c r="G220" s="1" t="s">
        <v>1145</v>
      </c>
      <c r="H220" s="1" t="s">
        <v>1146</v>
      </c>
      <c r="I220" s="1" t="s">
        <v>776</v>
      </c>
      <c r="J220" s="2" t="s">
        <v>563</v>
      </c>
      <c r="K220" s="2" t="s">
        <v>715</v>
      </c>
      <c r="L220" s="3">
        <v>1</v>
      </c>
      <c r="M220" s="3"/>
      <c r="N220" s="3"/>
      <c r="O220" s="3">
        <v>1</v>
      </c>
      <c r="P220" s="3">
        <v>3</v>
      </c>
      <c r="Q220" s="3">
        <v>2</v>
      </c>
      <c r="R220" s="3"/>
      <c r="S220" s="3"/>
      <c r="T220" s="3"/>
      <c r="U220" s="3">
        <v>1</v>
      </c>
      <c r="V220" s="3">
        <v>1</v>
      </c>
      <c r="W220" s="3" t="s">
        <v>40</v>
      </c>
      <c r="X220" s="3" t="s">
        <v>40</v>
      </c>
      <c r="Y220" s="3" t="s">
        <v>40</v>
      </c>
      <c r="Z220" s="3"/>
      <c r="AA220" s="3" t="s">
        <v>35</v>
      </c>
      <c r="AB220" s="6" t="str">
        <f>HYPERLINK(_xlfn.CONCAT("https://www.google.com/maps/search/",Tabela1[[#This Row],[GPS]]),"##")</f>
        <v>##</v>
      </c>
      <c r="AC220" s="3" t="str">
        <f>_xlfn.CONCAT("https://raw.githubusercontent.com/marcelo-pascoal/Semaforos/refs/heads/main/fotosD/",Tabela1[[#This Row],[Foto1]])</f>
        <v>https://raw.githubusercontent.com/marcelo-pascoal/Semaforos/refs/heads/main/fotosD/DSCF7535.JPG</v>
      </c>
      <c r="AD220" s="3" t="str">
        <f>_xlfn.CONCAT("https://raw.githubusercontent.com/marcelo-pascoal/Semaforos/refs/heads/main/fotos/",Tabela1[[#This Row],[id_0]],".jpg")</f>
        <v>https://raw.githubusercontent.com/marcelo-pascoal/Semaforos/refs/heads/main/fotos/74.jpg</v>
      </c>
      <c r="AE220" s="3" t="str">
        <f>_xlfn.CONCAT("https://raw.githubusercontent.com/marcelo-pascoal/Semaforos/refs/heads/main/fotosD/",Tabela1[[#This Row],[id_0]],".jpg")</f>
        <v>https://raw.githubusercontent.com/marcelo-pascoal/Semaforos/refs/heads/main/fotosD/74.jpg</v>
      </c>
      <c r="AF220" s="3">
        <v>5</v>
      </c>
    </row>
    <row r="221" spans="1:32" ht="250" customHeight="1" x14ac:dyDescent="0.35">
      <c r="A221" s="2" t="s">
        <v>770</v>
      </c>
      <c r="B221" s="5">
        <v>75</v>
      </c>
      <c r="C221" s="2" t="s">
        <v>778</v>
      </c>
      <c r="D221" s="1" t="s">
        <v>60</v>
      </c>
      <c r="E221" s="2" t="s">
        <v>1147</v>
      </c>
      <c r="F221" s="2" t="s">
        <v>780</v>
      </c>
      <c r="G221" s="1" t="s">
        <v>1145</v>
      </c>
      <c r="H221" s="1" t="s">
        <v>1146</v>
      </c>
      <c r="I221" s="1" t="s">
        <v>779</v>
      </c>
      <c r="J221" s="2" t="s">
        <v>563</v>
      </c>
      <c r="K221" s="2" t="s">
        <v>715</v>
      </c>
      <c r="L221" s="3">
        <v>1</v>
      </c>
      <c r="M221" s="3"/>
      <c r="N221" s="3"/>
      <c r="O221" s="3">
        <v>1</v>
      </c>
      <c r="P221" s="3">
        <v>3</v>
      </c>
      <c r="Q221" s="3">
        <v>2</v>
      </c>
      <c r="R221" s="3"/>
      <c r="S221" s="3"/>
      <c r="T221" s="3"/>
      <c r="U221" s="3">
        <v>1</v>
      </c>
      <c r="V221" s="3">
        <v>1</v>
      </c>
      <c r="W221" s="3" t="s">
        <v>40</v>
      </c>
      <c r="X221" s="3"/>
      <c r="Y221" s="3" t="s">
        <v>40</v>
      </c>
      <c r="Z221" s="3"/>
      <c r="AA221" s="3" t="s">
        <v>35</v>
      </c>
      <c r="AB221" s="6" t="str">
        <f>HYPERLINK(_xlfn.CONCAT("https://www.google.com/maps/search/",Tabela1[[#This Row],[GPS]]),"##")</f>
        <v>##</v>
      </c>
      <c r="AC221" s="3" t="str">
        <f>_xlfn.CONCAT("https://raw.githubusercontent.com/marcelo-pascoal/Semaforos/refs/heads/main/fotosD/",Tabela1[[#This Row],[Foto1]])</f>
        <v>https://raw.githubusercontent.com/marcelo-pascoal/Semaforos/refs/heads/main/fotosD/DSCF7530.JPG</v>
      </c>
      <c r="AD221" s="3" t="str">
        <f>_xlfn.CONCAT("https://raw.githubusercontent.com/marcelo-pascoal/Semaforos/refs/heads/main/fotos/",Tabela1[[#This Row],[id_0]],".jpg")</f>
        <v>https://raw.githubusercontent.com/marcelo-pascoal/Semaforos/refs/heads/main/fotos/75.jpg</v>
      </c>
      <c r="AE221" s="3" t="str">
        <f>_xlfn.CONCAT("https://raw.githubusercontent.com/marcelo-pascoal/Semaforos/refs/heads/main/fotosD/",Tabela1[[#This Row],[id_0]],".jpg")</f>
        <v>https://raw.githubusercontent.com/marcelo-pascoal/Semaforos/refs/heads/main/fotosD/75.jpg</v>
      </c>
      <c r="AF221" s="3">
        <v>1</v>
      </c>
    </row>
    <row r="222" spans="1:32" ht="250" customHeight="1" x14ac:dyDescent="0.35">
      <c r="A222" s="2" t="s">
        <v>770</v>
      </c>
      <c r="B222" s="5">
        <v>76</v>
      </c>
      <c r="C222" s="2" t="s">
        <v>781</v>
      </c>
      <c r="D222" s="1" t="s">
        <v>31</v>
      </c>
      <c r="E222" s="2" t="s">
        <v>1147</v>
      </c>
      <c r="F222" s="2" t="s">
        <v>783</v>
      </c>
      <c r="G222" s="1" t="s">
        <v>1144</v>
      </c>
      <c r="H222" s="1" t="s">
        <v>31</v>
      </c>
      <c r="I222" s="1" t="s">
        <v>782</v>
      </c>
      <c r="J222" s="2" t="s">
        <v>563</v>
      </c>
      <c r="K222" s="2" t="s">
        <v>715</v>
      </c>
      <c r="L222" s="3"/>
      <c r="M222" s="3">
        <v>2</v>
      </c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 t="s">
        <v>233</v>
      </c>
      <c r="AB222" s="6" t="str">
        <f>HYPERLINK(_xlfn.CONCAT("https://www.google.com/maps/search/",Tabela1[[#This Row],[GPS]]),"##")</f>
        <v>##</v>
      </c>
      <c r="AC222" s="3" t="str">
        <f>_xlfn.CONCAT("https://raw.githubusercontent.com/marcelo-pascoal/Semaforos/refs/heads/main/fotosD/",Tabela1[[#This Row],[Foto1]])</f>
        <v>https://raw.githubusercontent.com/marcelo-pascoal/Semaforos/refs/heads/main/fotosD/DSCF7528.JPG</v>
      </c>
      <c r="AD222" s="3" t="str">
        <f>_xlfn.CONCAT("https://raw.githubusercontent.com/marcelo-pascoal/Semaforos/refs/heads/main/fotos/",Tabela1[[#This Row],[id_0]],".jpg")</f>
        <v>https://raw.githubusercontent.com/marcelo-pascoal/Semaforos/refs/heads/main/fotos/76.jpg</v>
      </c>
      <c r="AE222" s="3" t="str">
        <f>_xlfn.CONCAT("https://raw.githubusercontent.com/marcelo-pascoal/Semaforos/refs/heads/main/fotosD/",Tabela1[[#This Row],[id_0]],".jpg")</f>
        <v>https://raw.githubusercontent.com/marcelo-pascoal/Semaforos/refs/heads/main/fotosD/76.jpg</v>
      </c>
      <c r="AF222" s="3">
        <v>1</v>
      </c>
    </row>
    <row r="223" spans="1:32" ht="250" customHeight="1" x14ac:dyDescent="0.35">
      <c r="A223" s="2" t="s">
        <v>770</v>
      </c>
      <c r="B223" s="5">
        <v>468</v>
      </c>
      <c r="C223" s="2" t="s">
        <v>784</v>
      </c>
      <c r="D223" s="1" t="s">
        <v>38</v>
      </c>
      <c r="E223" s="2" t="s">
        <v>1147</v>
      </c>
      <c r="F223" s="2" t="s">
        <v>786</v>
      </c>
      <c r="G223" s="1" t="s">
        <v>1144</v>
      </c>
      <c r="H223" s="1" t="s">
        <v>1146</v>
      </c>
      <c r="I223" s="1" t="s">
        <v>785</v>
      </c>
      <c r="J223" s="2" t="s">
        <v>773</v>
      </c>
      <c r="K223" s="2" t="s">
        <v>715</v>
      </c>
      <c r="L223" s="3"/>
      <c r="M223" s="3"/>
      <c r="N223" s="3"/>
      <c r="O223" s="3"/>
      <c r="P223" s="3">
        <v>1</v>
      </c>
      <c r="Q223" s="3"/>
      <c r="R223" s="3"/>
      <c r="S223" s="3"/>
      <c r="T223" s="3"/>
      <c r="U223" s="3">
        <v>1</v>
      </c>
      <c r="V223" s="3">
        <v>1</v>
      </c>
      <c r="W223" s="3" t="s">
        <v>40</v>
      </c>
      <c r="X223" s="3"/>
      <c r="Y223" s="3"/>
      <c r="Z223" s="3"/>
      <c r="AA223" s="3" t="s">
        <v>35</v>
      </c>
      <c r="AB223" s="6" t="str">
        <f>HYPERLINK(_xlfn.CONCAT("https://www.google.com/maps/search/",Tabela1[[#This Row],[GPS]]),"##")</f>
        <v>##</v>
      </c>
      <c r="AC223" s="3" t="str">
        <f>_xlfn.CONCAT("https://raw.githubusercontent.com/marcelo-pascoal/Semaforos/refs/heads/main/fotosD/",Tabela1[[#This Row],[Foto1]])</f>
        <v>https://raw.githubusercontent.com/marcelo-pascoal/Semaforos/refs/heads/main/fotosD/DSCF7534.JPG</v>
      </c>
      <c r="AD223" s="3" t="str">
        <f>_xlfn.CONCAT("https://raw.githubusercontent.com/marcelo-pascoal/Semaforos/refs/heads/main/fotos/",Tabela1[[#This Row],[id_0]],".jpg")</f>
        <v>https://raw.githubusercontent.com/marcelo-pascoal/Semaforos/refs/heads/main/fotos/468.jpg</v>
      </c>
      <c r="AE223" s="8" t="str">
        <f>_xlfn.CONCAT("https://raw.githubusercontent.com/marcelo-pascoal/Semaforos/refs/heads/main/fotosD/",Tabela1[[#This Row],[id_0]],".jpg")</f>
        <v>https://raw.githubusercontent.com/marcelo-pascoal/Semaforos/refs/heads/main/fotosD/468.jpg</v>
      </c>
      <c r="AF223" s="3"/>
    </row>
    <row r="224" spans="1:32" ht="250" customHeight="1" x14ac:dyDescent="0.35">
      <c r="A224" s="2" t="s">
        <v>770</v>
      </c>
      <c r="B224" s="5">
        <v>469</v>
      </c>
      <c r="C224" s="2" t="s">
        <v>787</v>
      </c>
      <c r="D224" s="1" t="s">
        <v>38</v>
      </c>
      <c r="E224" s="2" t="s">
        <v>1147</v>
      </c>
      <c r="F224" s="2" t="s">
        <v>790</v>
      </c>
      <c r="G224" s="1" t="s">
        <v>1144</v>
      </c>
      <c r="H224" s="1" t="s">
        <v>1146</v>
      </c>
      <c r="I224" s="1" t="s">
        <v>788</v>
      </c>
      <c r="J224" s="2" t="s">
        <v>789</v>
      </c>
      <c r="K224" s="2" t="s">
        <v>715</v>
      </c>
      <c r="L224" s="3"/>
      <c r="M224" s="3"/>
      <c r="N224" s="3"/>
      <c r="O224" s="3"/>
      <c r="P224" s="3">
        <v>1</v>
      </c>
      <c r="Q224" s="3"/>
      <c r="R224" s="3"/>
      <c r="S224" s="3"/>
      <c r="T224" s="3"/>
      <c r="U224" s="3">
        <v>1</v>
      </c>
      <c r="V224" s="3">
        <v>1</v>
      </c>
      <c r="W224" s="3" t="s">
        <v>40</v>
      </c>
      <c r="X224" s="3"/>
      <c r="Y224" s="3"/>
      <c r="Z224" s="3"/>
      <c r="AA224" s="3" t="s">
        <v>35</v>
      </c>
      <c r="AB224" s="6" t="str">
        <f>HYPERLINK(_xlfn.CONCAT("https://www.google.com/maps/search/",Tabela1[[#This Row],[GPS]]),"##")</f>
        <v>##</v>
      </c>
      <c r="AC224" s="3" t="str">
        <f>_xlfn.CONCAT("https://raw.githubusercontent.com/marcelo-pascoal/Semaforos/refs/heads/main/fotosD/",Tabela1[[#This Row],[Foto1]])</f>
        <v>https://raw.githubusercontent.com/marcelo-pascoal/Semaforos/refs/heads/main/fotosD/DSCF7540.JPG</v>
      </c>
      <c r="AD224" s="3" t="str">
        <f>_xlfn.CONCAT("https://raw.githubusercontent.com/marcelo-pascoal/Semaforos/refs/heads/main/fotos/",Tabela1[[#This Row],[id_0]],".jpg")</f>
        <v>https://raw.githubusercontent.com/marcelo-pascoal/Semaforos/refs/heads/main/fotos/469.jpg</v>
      </c>
      <c r="AE224" s="3" t="str">
        <f>_xlfn.CONCAT("https://raw.githubusercontent.com/marcelo-pascoal/Semaforos/refs/heads/main/fotosD/",Tabela1[[#This Row],[id_0]],".jpg")</f>
        <v>https://raw.githubusercontent.com/marcelo-pascoal/Semaforos/refs/heads/main/fotosD/469.jpg</v>
      </c>
      <c r="AF224" s="3">
        <v>1</v>
      </c>
    </row>
    <row r="225" spans="1:32" ht="250" customHeight="1" x14ac:dyDescent="0.35">
      <c r="A225" s="2" t="s">
        <v>770</v>
      </c>
      <c r="B225" s="5">
        <v>470</v>
      </c>
      <c r="C225" s="2" t="s">
        <v>791</v>
      </c>
      <c r="D225" s="1" t="s">
        <v>31</v>
      </c>
      <c r="E225" s="2" t="s">
        <v>1147</v>
      </c>
      <c r="F225" s="2" t="s">
        <v>793</v>
      </c>
      <c r="G225" s="1" t="s">
        <v>1144</v>
      </c>
      <c r="H225" s="1" t="s">
        <v>31</v>
      </c>
      <c r="I225" s="1" t="s">
        <v>792</v>
      </c>
      <c r="J225" s="2" t="s">
        <v>789</v>
      </c>
      <c r="K225" s="2" t="s">
        <v>715</v>
      </c>
      <c r="L225" s="3"/>
      <c r="M225" s="3">
        <v>2</v>
      </c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 t="s">
        <v>233</v>
      </c>
      <c r="AB225" s="6" t="str">
        <f>HYPERLINK(_xlfn.CONCAT("https://www.google.com/maps/search/",Tabela1[[#This Row],[GPS]]),"##")</f>
        <v>##</v>
      </c>
      <c r="AC225" s="3" t="str">
        <f>_xlfn.CONCAT("https://raw.githubusercontent.com/marcelo-pascoal/Semaforos/refs/heads/main/fotosD/",Tabela1[[#This Row],[Foto1]])</f>
        <v>https://raw.githubusercontent.com/marcelo-pascoal/Semaforos/refs/heads/main/fotosD/DSCF7543.JPG</v>
      </c>
      <c r="AD225" s="3" t="str">
        <f>_xlfn.CONCAT("https://raw.githubusercontent.com/marcelo-pascoal/Semaforos/refs/heads/main/fotos/",Tabela1[[#This Row],[id_0]],".jpg")</f>
        <v>https://raw.githubusercontent.com/marcelo-pascoal/Semaforos/refs/heads/main/fotos/470.jpg</v>
      </c>
      <c r="AE225" s="3" t="str">
        <f>_xlfn.CONCAT("https://raw.githubusercontent.com/marcelo-pascoal/Semaforos/refs/heads/main/fotosD/",Tabela1[[#This Row],[id_0]],".jpg")</f>
        <v>https://raw.githubusercontent.com/marcelo-pascoal/Semaforos/refs/heads/main/fotosD/470.jpg</v>
      </c>
      <c r="AF225" s="3">
        <v>5</v>
      </c>
    </row>
    <row r="226" spans="1:32" ht="250" customHeight="1" x14ac:dyDescent="0.35">
      <c r="A226" s="2" t="s">
        <v>794</v>
      </c>
      <c r="B226" s="5">
        <v>65</v>
      </c>
      <c r="C226" s="2" t="s">
        <v>795</v>
      </c>
      <c r="D226" s="1" t="s">
        <v>31</v>
      </c>
      <c r="F226" s="2" t="s">
        <v>797</v>
      </c>
      <c r="G226" s="1" t="s">
        <v>1144</v>
      </c>
      <c r="H226" s="1" t="s">
        <v>31</v>
      </c>
      <c r="I226" s="1" t="s">
        <v>796</v>
      </c>
      <c r="J226" s="2" t="s">
        <v>789</v>
      </c>
      <c r="K226" s="2" t="s">
        <v>715</v>
      </c>
      <c r="L226" s="3"/>
      <c r="M226" s="3">
        <v>2</v>
      </c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 t="s">
        <v>35</v>
      </c>
      <c r="AB226" s="6" t="str">
        <f>HYPERLINK(_xlfn.CONCAT("https://www.google.com/maps/search/",Tabela1[[#This Row],[GPS]]),"##")</f>
        <v>##</v>
      </c>
      <c r="AC226" s="3" t="str">
        <f>_xlfn.CONCAT("https://raw.githubusercontent.com/marcelo-pascoal/Semaforos/refs/heads/main/fotosD/",Tabela1[[#This Row],[Foto1]])</f>
        <v>https://raw.githubusercontent.com/marcelo-pascoal/Semaforos/refs/heads/main/fotosD/DSCF7573-1.JPG</v>
      </c>
      <c r="AD226" s="3" t="str">
        <f>_xlfn.CONCAT("https://raw.githubusercontent.com/marcelo-pascoal/Semaforos/refs/heads/main/fotos/",Tabela1[[#This Row],[id_0]],".jpg")</f>
        <v>https://raw.githubusercontent.com/marcelo-pascoal/Semaforos/refs/heads/main/fotos/65.jpg</v>
      </c>
      <c r="AE226" s="3" t="str">
        <f>_xlfn.CONCAT("https://raw.githubusercontent.com/marcelo-pascoal/Semaforos/refs/heads/main/fotosD/",Tabela1[[#This Row],[id_0]],".jpg")</f>
        <v>https://raw.githubusercontent.com/marcelo-pascoal/Semaforos/refs/heads/main/fotosD/65.jpg</v>
      </c>
      <c r="AF226" s="3">
        <v>1</v>
      </c>
    </row>
    <row r="227" spans="1:32" ht="250" customHeight="1" x14ac:dyDescent="0.35">
      <c r="A227" s="2" t="s">
        <v>794</v>
      </c>
      <c r="B227" s="5">
        <v>66</v>
      </c>
      <c r="C227" s="2" t="s">
        <v>798</v>
      </c>
      <c r="D227" s="1" t="s">
        <v>60</v>
      </c>
      <c r="E227" s="2" t="s">
        <v>1147</v>
      </c>
      <c r="F227" s="2" t="s">
        <v>800</v>
      </c>
      <c r="G227" s="1" t="s">
        <v>1145</v>
      </c>
      <c r="H227" s="1" t="s">
        <v>1146</v>
      </c>
      <c r="I227" s="1" t="s">
        <v>799</v>
      </c>
      <c r="J227" s="2" t="s">
        <v>563</v>
      </c>
      <c r="K227" s="2" t="s">
        <v>715</v>
      </c>
      <c r="L227" s="3">
        <v>1</v>
      </c>
      <c r="M227" s="3"/>
      <c r="N227" s="3"/>
      <c r="O227" s="3">
        <v>1</v>
      </c>
      <c r="P227" s="3">
        <v>3</v>
      </c>
      <c r="Q227" s="3">
        <v>2</v>
      </c>
      <c r="R227" s="3"/>
      <c r="S227" s="3"/>
      <c r="T227" s="3"/>
      <c r="U227" s="3">
        <v>1</v>
      </c>
      <c r="V227" s="3">
        <v>1</v>
      </c>
      <c r="W227" s="3" t="s">
        <v>40</v>
      </c>
      <c r="X227" s="3" t="s">
        <v>40</v>
      </c>
      <c r="Y227" s="3" t="s">
        <v>40</v>
      </c>
      <c r="Z227" s="3"/>
      <c r="AA227" s="3" t="s">
        <v>35</v>
      </c>
      <c r="AB227" s="6" t="str">
        <f>HYPERLINK(_xlfn.CONCAT("https://www.google.com/maps/search/",Tabela1[[#This Row],[GPS]]),"##")</f>
        <v>##</v>
      </c>
      <c r="AC227" s="3" t="str">
        <f>_xlfn.CONCAT("https://raw.githubusercontent.com/marcelo-pascoal/Semaforos/refs/heads/main/fotosD/",Tabela1[[#This Row],[Foto1]])</f>
        <v>https://raw.githubusercontent.com/marcelo-pascoal/Semaforos/refs/heads/main/fotosD/DSCF7563.JPG</v>
      </c>
      <c r="AD227" s="3" t="str">
        <f>_xlfn.CONCAT("https://raw.githubusercontent.com/marcelo-pascoal/Semaforos/refs/heads/main/fotos/",Tabela1[[#This Row],[id_0]],".jpg")</f>
        <v>https://raw.githubusercontent.com/marcelo-pascoal/Semaforos/refs/heads/main/fotos/66.jpg</v>
      </c>
      <c r="AE227" s="3" t="str">
        <f>_xlfn.CONCAT("https://raw.githubusercontent.com/marcelo-pascoal/Semaforos/refs/heads/main/fotosD/",Tabela1[[#This Row],[id_0]],".jpg")</f>
        <v>https://raw.githubusercontent.com/marcelo-pascoal/Semaforos/refs/heads/main/fotosD/66.jpg</v>
      </c>
      <c r="AF227" s="3">
        <v>1</v>
      </c>
    </row>
    <row r="228" spans="1:32" ht="250" customHeight="1" x14ac:dyDescent="0.35">
      <c r="A228" s="2" t="s">
        <v>794</v>
      </c>
      <c r="B228" s="5">
        <v>67</v>
      </c>
      <c r="C228" s="2" t="s">
        <v>801</v>
      </c>
      <c r="D228" s="1" t="s">
        <v>38</v>
      </c>
      <c r="E228" s="2" t="s">
        <v>1147</v>
      </c>
      <c r="F228" s="2" t="s">
        <v>804</v>
      </c>
      <c r="G228" s="1" t="s">
        <v>1144</v>
      </c>
      <c r="H228" s="1" t="s">
        <v>1146</v>
      </c>
      <c r="I228" s="1" t="s">
        <v>802</v>
      </c>
      <c r="J228" s="2" t="s">
        <v>803</v>
      </c>
      <c r="K228" s="2" t="s">
        <v>715</v>
      </c>
      <c r="L228" s="3"/>
      <c r="M228" s="3"/>
      <c r="N228" s="3"/>
      <c r="O228" s="3">
        <v>1</v>
      </c>
      <c r="P228" s="3">
        <v>1</v>
      </c>
      <c r="Q228" s="3">
        <v>1</v>
      </c>
      <c r="R228" s="3">
        <v>1</v>
      </c>
      <c r="S228" s="3">
        <v>1</v>
      </c>
      <c r="T228" s="3">
        <v>1</v>
      </c>
      <c r="U228" s="3"/>
      <c r="V228" s="3"/>
      <c r="W228" s="3"/>
      <c r="X228" s="3"/>
      <c r="Y228" s="3"/>
      <c r="Z228" s="3"/>
      <c r="AA228" s="3" t="s">
        <v>35</v>
      </c>
      <c r="AB228" s="6" t="str">
        <f>HYPERLINK(_xlfn.CONCAT("https://www.google.com/maps/search/",Tabela1[[#This Row],[GPS]]),"##")</f>
        <v>##</v>
      </c>
      <c r="AC228" s="3" t="str">
        <f>_xlfn.CONCAT("https://raw.githubusercontent.com/marcelo-pascoal/Semaforos/refs/heads/main/fotosD/",Tabela1[[#This Row],[Foto1]])</f>
        <v>https://raw.githubusercontent.com/marcelo-pascoal/Semaforos/refs/heads/main/fotosD/DSCF7561.JPG</v>
      </c>
      <c r="AD228" s="3" t="str">
        <f>_xlfn.CONCAT("https://raw.githubusercontent.com/marcelo-pascoal/Semaforos/refs/heads/main/fotos/",Tabela1[[#This Row],[id_0]],".jpg")</f>
        <v>https://raw.githubusercontent.com/marcelo-pascoal/Semaforos/refs/heads/main/fotos/67.jpg</v>
      </c>
      <c r="AE228" s="3" t="str">
        <f>_xlfn.CONCAT("https://raw.githubusercontent.com/marcelo-pascoal/Semaforos/refs/heads/main/fotosD/",Tabela1[[#This Row],[id_0]],".jpg")</f>
        <v>https://raw.githubusercontent.com/marcelo-pascoal/Semaforos/refs/heads/main/fotosD/67.jpg</v>
      </c>
      <c r="AF228" s="3">
        <v>1</v>
      </c>
    </row>
    <row r="229" spans="1:32" ht="250" customHeight="1" x14ac:dyDescent="0.35">
      <c r="A229" s="2" t="s">
        <v>794</v>
      </c>
      <c r="B229" s="5">
        <v>68</v>
      </c>
      <c r="C229" s="2" t="s">
        <v>805</v>
      </c>
      <c r="D229" s="1" t="s">
        <v>38</v>
      </c>
      <c r="E229" s="2" t="s">
        <v>1147</v>
      </c>
      <c r="F229" s="2" t="s">
        <v>808</v>
      </c>
      <c r="G229" s="1" t="s">
        <v>1144</v>
      </c>
      <c r="H229" s="1" t="s">
        <v>1146</v>
      </c>
      <c r="I229" s="1" t="s">
        <v>806</v>
      </c>
      <c r="J229" s="2" t="s">
        <v>807</v>
      </c>
      <c r="K229" s="2" t="s">
        <v>715</v>
      </c>
      <c r="L229" s="3"/>
      <c r="M229" s="3"/>
      <c r="N229" s="3"/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 t="s">
        <v>40</v>
      </c>
      <c r="X229" s="3"/>
      <c r="Y229" s="3"/>
      <c r="Z229" s="3"/>
      <c r="AA229" s="3" t="s">
        <v>35</v>
      </c>
      <c r="AB229" s="6" t="str">
        <f>HYPERLINK(_xlfn.CONCAT("https://www.google.com/maps/search/",Tabela1[[#This Row],[GPS]]),"##")</f>
        <v>##</v>
      </c>
      <c r="AC229" s="3" t="str">
        <f>_xlfn.CONCAT("https://raw.githubusercontent.com/marcelo-pascoal/Semaforos/refs/heads/main/fotosD/",Tabela1[[#This Row],[Foto1]])</f>
        <v>https://raw.githubusercontent.com/marcelo-pascoal/Semaforos/refs/heads/main/fotosD/DSCF7571.JPG</v>
      </c>
      <c r="AD229" s="3" t="str">
        <f>_xlfn.CONCAT("https://raw.githubusercontent.com/marcelo-pascoal/Semaforos/refs/heads/main/fotos/",Tabela1[[#This Row],[id_0]],".jpg")</f>
        <v>https://raw.githubusercontent.com/marcelo-pascoal/Semaforos/refs/heads/main/fotos/68.jpg</v>
      </c>
      <c r="AE229" s="3" t="str">
        <f>_xlfn.CONCAT("https://raw.githubusercontent.com/marcelo-pascoal/Semaforos/refs/heads/main/fotosD/",Tabela1[[#This Row],[id_0]],".jpg")</f>
        <v>https://raw.githubusercontent.com/marcelo-pascoal/Semaforos/refs/heads/main/fotosD/68.jpg</v>
      </c>
      <c r="AF229" s="3">
        <v>5</v>
      </c>
    </row>
    <row r="230" spans="1:32" ht="250" customHeight="1" x14ac:dyDescent="0.35">
      <c r="A230" s="2" t="s">
        <v>794</v>
      </c>
      <c r="B230" s="5">
        <v>69</v>
      </c>
      <c r="C230" s="2" t="s">
        <v>809</v>
      </c>
      <c r="D230" s="1" t="s">
        <v>60</v>
      </c>
      <c r="F230" s="2" t="s">
        <v>811</v>
      </c>
      <c r="G230" s="1" t="s">
        <v>1145</v>
      </c>
      <c r="H230" s="1" t="s">
        <v>1146</v>
      </c>
      <c r="I230" s="1" t="s">
        <v>810</v>
      </c>
      <c r="J230" s="2" t="s">
        <v>563</v>
      </c>
      <c r="K230" s="2" t="s">
        <v>715</v>
      </c>
      <c r="L230" s="3"/>
      <c r="M230" s="3"/>
      <c r="N230" s="3"/>
      <c r="O230" s="3">
        <v>1</v>
      </c>
      <c r="P230" s="3">
        <v>2</v>
      </c>
      <c r="Q230" s="3">
        <v>1</v>
      </c>
      <c r="R230" s="3">
        <v>1</v>
      </c>
      <c r="S230" s="3">
        <v>1</v>
      </c>
      <c r="T230" s="3">
        <v>1</v>
      </c>
      <c r="U230" s="3"/>
      <c r="V230" s="3"/>
      <c r="W230" s="3"/>
      <c r="X230" s="3"/>
      <c r="Y230" s="3" t="s">
        <v>40</v>
      </c>
      <c r="Z230" s="3"/>
      <c r="AA230" s="3" t="s">
        <v>35</v>
      </c>
      <c r="AB230" s="6" t="str">
        <f>HYPERLINK(_xlfn.CONCAT("https://www.google.com/maps/search/",Tabela1[[#This Row],[GPS]]),"##")</f>
        <v>##</v>
      </c>
      <c r="AC230" s="3" t="str">
        <f>_xlfn.CONCAT("https://raw.githubusercontent.com/marcelo-pascoal/Semaforos/refs/heads/main/fotosD/",Tabela1[[#This Row],[Foto1]])</f>
        <v>https://raw.githubusercontent.com/marcelo-pascoal/Semaforos/refs/heads/main/fotosD/sshot-11.jpg</v>
      </c>
      <c r="AD230" s="3" t="str">
        <f>_xlfn.CONCAT("https://raw.githubusercontent.com/marcelo-pascoal/Semaforos/refs/heads/main/fotos/",Tabela1[[#This Row],[id_0]],".jpg")</f>
        <v>https://raw.githubusercontent.com/marcelo-pascoal/Semaforos/refs/heads/main/fotos/69.jpg</v>
      </c>
      <c r="AE230" s="3" t="str">
        <f>_xlfn.CONCAT("https://raw.githubusercontent.com/marcelo-pascoal/Semaforos/refs/heads/main/fotosD/",Tabela1[[#This Row],[id_0]],".jpg")</f>
        <v>https://raw.githubusercontent.com/marcelo-pascoal/Semaforos/refs/heads/main/fotosD/69.jpg</v>
      </c>
      <c r="AF230" s="3">
        <v>1</v>
      </c>
    </row>
    <row r="231" spans="1:32" ht="250" customHeight="1" x14ac:dyDescent="0.35">
      <c r="A231" s="2" t="s">
        <v>794</v>
      </c>
      <c r="B231" s="5">
        <v>72</v>
      </c>
      <c r="C231" s="2" t="s">
        <v>812</v>
      </c>
      <c r="D231" s="1" t="s">
        <v>31</v>
      </c>
      <c r="E231" s="2" t="s">
        <v>1147</v>
      </c>
      <c r="F231" s="2" t="s">
        <v>814</v>
      </c>
      <c r="G231" s="1" t="s">
        <v>1144</v>
      </c>
      <c r="H231" s="1" t="s">
        <v>31</v>
      </c>
      <c r="I231" s="1" t="s">
        <v>813</v>
      </c>
      <c r="J231" s="2" t="s">
        <v>789</v>
      </c>
      <c r="K231" s="2" t="s">
        <v>715</v>
      </c>
      <c r="L231" s="3"/>
      <c r="M231" s="3">
        <v>2</v>
      </c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 t="s">
        <v>35</v>
      </c>
      <c r="AB231" s="6" t="str">
        <f>HYPERLINK(_xlfn.CONCAT("https://www.google.com/maps/search/",Tabela1[[#This Row],[GPS]]),"##")</f>
        <v>##</v>
      </c>
      <c r="AC231" s="3" t="str">
        <f>_xlfn.CONCAT("https://raw.githubusercontent.com/marcelo-pascoal/Semaforos/refs/heads/main/fotosD/",Tabela1[[#This Row],[Foto1]])</f>
        <v>https://raw.githubusercontent.com/marcelo-pascoal/Semaforos/refs/heads/main/fotosD/DSCF7544.JPG</v>
      </c>
      <c r="AD231" s="3" t="str">
        <f>_xlfn.CONCAT("https://raw.githubusercontent.com/marcelo-pascoal/Semaforos/refs/heads/main/fotos/",Tabela1[[#This Row],[id_0]],".jpg")</f>
        <v>https://raw.githubusercontent.com/marcelo-pascoal/Semaforos/refs/heads/main/fotos/72.jpg</v>
      </c>
      <c r="AE231" s="3" t="str">
        <f>_xlfn.CONCAT("https://raw.githubusercontent.com/marcelo-pascoal/Semaforos/refs/heads/main/fotosD/",Tabela1[[#This Row],[id_0]],".jpg")</f>
        <v>https://raw.githubusercontent.com/marcelo-pascoal/Semaforos/refs/heads/main/fotosD/72.jpg</v>
      </c>
      <c r="AF231" s="3">
        <v>1</v>
      </c>
    </row>
    <row r="232" spans="1:32" ht="250" customHeight="1" x14ac:dyDescent="0.35">
      <c r="A232" s="2" t="s">
        <v>794</v>
      </c>
      <c r="B232" s="5">
        <v>471</v>
      </c>
      <c r="C232" s="2" t="s">
        <v>815</v>
      </c>
      <c r="D232" s="1" t="s">
        <v>38</v>
      </c>
      <c r="E232" s="2" t="s">
        <v>1147</v>
      </c>
      <c r="F232" s="2" t="s">
        <v>817</v>
      </c>
      <c r="G232" s="1" t="s">
        <v>1144</v>
      </c>
      <c r="H232" s="1" t="s">
        <v>1146</v>
      </c>
      <c r="I232" s="1" t="s">
        <v>816</v>
      </c>
      <c r="J232" s="2" t="s">
        <v>807</v>
      </c>
      <c r="K232" s="2" t="s">
        <v>715</v>
      </c>
      <c r="L232" s="3"/>
      <c r="M232" s="3"/>
      <c r="N232" s="3"/>
      <c r="O232" s="3"/>
      <c r="P232" s="3">
        <v>1</v>
      </c>
      <c r="Q232" s="3"/>
      <c r="R232" s="3"/>
      <c r="S232" s="3"/>
      <c r="T232" s="3"/>
      <c r="U232" s="3">
        <v>1</v>
      </c>
      <c r="V232" s="3">
        <v>1</v>
      </c>
      <c r="W232" s="3" t="s">
        <v>40</v>
      </c>
      <c r="X232" s="3" t="s">
        <v>40</v>
      </c>
      <c r="Y232" s="3"/>
      <c r="Z232" s="3"/>
      <c r="AA232" s="3" t="s">
        <v>35</v>
      </c>
      <c r="AB232" s="6" t="str">
        <f>HYPERLINK(_xlfn.CONCAT("https://www.google.com/maps/search/",Tabela1[[#This Row],[GPS]]),"##")</f>
        <v>##</v>
      </c>
      <c r="AC232" s="3" t="str">
        <f>_xlfn.CONCAT("https://raw.githubusercontent.com/marcelo-pascoal/Semaforos/refs/heads/main/fotosD/",Tabela1[[#This Row],[Foto1]])</f>
        <v>https://raw.githubusercontent.com/marcelo-pascoal/Semaforos/refs/heads/main/fotosD/DSCF7572.JPG</v>
      </c>
      <c r="AD232" s="3" t="str">
        <f>_xlfn.CONCAT("https://raw.githubusercontent.com/marcelo-pascoal/Semaforos/refs/heads/main/fotos/",Tabela1[[#This Row],[id_0]],".jpg")</f>
        <v>https://raw.githubusercontent.com/marcelo-pascoal/Semaforos/refs/heads/main/fotos/471.jpg</v>
      </c>
      <c r="AE232" s="3" t="str">
        <f>_xlfn.CONCAT("https://raw.githubusercontent.com/marcelo-pascoal/Semaforos/refs/heads/main/fotosD/",Tabela1[[#This Row],[id_0]],".jpg")</f>
        <v>https://raw.githubusercontent.com/marcelo-pascoal/Semaforos/refs/heads/main/fotosD/471.jpg</v>
      </c>
      <c r="AF232" s="3">
        <v>5</v>
      </c>
    </row>
    <row r="233" spans="1:32" ht="250" customHeight="1" x14ac:dyDescent="0.35">
      <c r="A233" s="2" t="s">
        <v>794</v>
      </c>
      <c r="B233" s="5">
        <v>472</v>
      </c>
      <c r="C233" s="2" t="s">
        <v>818</v>
      </c>
      <c r="D233" s="1" t="s">
        <v>38</v>
      </c>
      <c r="E233" s="2" t="s">
        <v>1147</v>
      </c>
      <c r="F233" s="2" t="s">
        <v>820</v>
      </c>
      <c r="G233" s="1" t="s">
        <v>1144</v>
      </c>
      <c r="H233" s="1" t="s">
        <v>1146</v>
      </c>
      <c r="I233" s="1" t="s">
        <v>819</v>
      </c>
      <c r="J233" s="2" t="s">
        <v>563</v>
      </c>
      <c r="K233" s="2" t="s">
        <v>715</v>
      </c>
      <c r="L233" s="3"/>
      <c r="M233" s="3"/>
      <c r="N233" s="3"/>
      <c r="O233" s="3"/>
      <c r="P233" s="3">
        <v>1</v>
      </c>
      <c r="Q233" s="3"/>
      <c r="R233" s="3"/>
      <c r="S233" s="3"/>
      <c r="T233" s="3"/>
      <c r="U233" s="3">
        <v>1</v>
      </c>
      <c r="V233" s="3">
        <v>1</v>
      </c>
      <c r="W233" s="3" t="s">
        <v>40</v>
      </c>
      <c r="X233" s="3" t="s">
        <v>40</v>
      </c>
      <c r="Y233" s="3"/>
      <c r="Z233" s="3"/>
      <c r="AA233" s="3" t="s">
        <v>35</v>
      </c>
      <c r="AB233" s="6" t="str">
        <f>HYPERLINK(_xlfn.CONCAT("https://www.google.com/maps/search/",Tabela1[[#This Row],[GPS]]),"##")</f>
        <v>##</v>
      </c>
      <c r="AC233" s="3" t="str">
        <f>_xlfn.CONCAT("https://raw.githubusercontent.com/marcelo-pascoal/Semaforos/refs/heads/main/fotosD/",Tabela1[[#This Row],[Foto1]])</f>
        <v>https://raw.githubusercontent.com/marcelo-pascoal/Semaforos/refs/heads/main/fotosD/DSCF7569.JPG</v>
      </c>
      <c r="AD233" s="3" t="str">
        <f>_xlfn.CONCAT("https://raw.githubusercontent.com/marcelo-pascoal/Semaforos/refs/heads/main/fotos/",Tabela1[[#This Row],[id_0]],".jpg")</f>
        <v>https://raw.githubusercontent.com/marcelo-pascoal/Semaforos/refs/heads/main/fotos/472.jpg</v>
      </c>
      <c r="AE233" s="3" t="str">
        <f>_xlfn.CONCAT("https://raw.githubusercontent.com/marcelo-pascoal/Semaforos/refs/heads/main/fotosD/",Tabela1[[#This Row],[id_0]],".jpg")</f>
        <v>https://raw.githubusercontent.com/marcelo-pascoal/Semaforos/refs/heads/main/fotosD/472.jpg</v>
      </c>
      <c r="AF233" s="3">
        <v>5</v>
      </c>
    </row>
    <row r="234" spans="1:32" ht="250" customHeight="1" x14ac:dyDescent="0.35">
      <c r="A234" s="2" t="s">
        <v>794</v>
      </c>
      <c r="B234" s="5">
        <v>607</v>
      </c>
      <c r="C234" s="2" t="s">
        <v>821</v>
      </c>
      <c r="D234" s="1" t="s">
        <v>38</v>
      </c>
      <c r="G234" s="1" t="s">
        <v>1144</v>
      </c>
      <c r="H234" s="1" t="s">
        <v>1146</v>
      </c>
      <c r="I234" s="1" t="s">
        <v>822</v>
      </c>
      <c r="J234" s="2" t="s">
        <v>563</v>
      </c>
      <c r="K234" s="2" t="s">
        <v>715</v>
      </c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 t="s">
        <v>35</v>
      </c>
      <c r="AB234" s="6" t="str">
        <f>HYPERLINK(_xlfn.CONCAT("https://www.google.com/maps/search/",Tabela1[[#This Row],[GPS]]),"##")</f>
        <v>##</v>
      </c>
      <c r="AC234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34" s="3" t="str">
        <f>_xlfn.CONCAT("https://raw.githubusercontent.com/marcelo-pascoal/Semaforos/refs/heads/main/fotos/",Tabela1[[#This Row],[id_0]],".jpg")</f>
        <v>https://raw.githubusercontent.com/marcelo-pascoal/Semaforos/refs/heads/main/fotos/607.jpg</v>
      </c>
      <c r="AE234" s="3" t="str">
        <f>_xlfn.CONCAT("https://raw.githubusercontent.com/marcelo-pascoal/Semaforos/refs/heads/main/fotosD/",Tabela1[[#This Row],[id_0]],".jpg")</f>
        <v>https://raw.githubusercontent.com/marcelo-pascoal/Semaforos/refs/heads/main/fotosD/607.jpg</v>
      </c>
      <c r="AF234" s="3">
        <v>5</v>
      </c>
    </row>
    <row r="235" spans="1:32" ht="250" customHeight="1" x14ac:dyDescent="0.35">
      <c r="A235" s="2" t="s">
        <v>823</v>
      </c>
      <c r="B235" s="5">
        <v>482</v>
      </c>
      <c r="C235" s="2" t="s">
        <v>824</v>
      </c>
      <c r="D235" s="1" t="s">
        <v>60</v>
      </c>
      <c r="F235" s="2" t="s">
        <v>826</v>
      </c>
      <c r="G235" s="1" t="s">
        <v>1145</v>
      </c>
      <c r="H235" s="1" t="s">
        <v>1146</v>
      </c>
      <c r="I235" s="1" t="s">
        <v>825</v>
      </c>
      <c r="J235" s="2" t="s">
        <v>528</v>
      </c>
      <c r="K235" s="2" t="s">
        <v>715</v>
      </c>
      <c r="L235" s="3">
        <v>1</v>
      </c>
      <c r="M235" s="3"/>
      <c r="N235" s="3"/>
      <c r="O235" s="3">
        <v>1</v>
      </c>
      <c r="P235" s="3">
        <v>2</v>
      </c>
      <c r="Q235" s="3">
        <v>2</v>
      </c>
      <c r="R235" s="3"/>
      <c r="S235" s="3"/>
      <c r="T235" s="3"/>
      <c r="U235" s="3"/>
      <c r="V235" s="3"/>
      <c r="W235" s="3"/>
      <c r="X235" s="3"/>
      <c r="Y235" s="3" t="s">
        <v>40</v>
      </c>
      <c r="Z235" s="3"/>
      <c r="AA235" s="3" t="s">
        <v>233</v>
      </c>
      <c r="AB235" s="6" t="str">
        <f>HYPERLINK(_xlfn.CONCAT("https://www.google.com/maps/search/",Tabela1[[#This Row],[GPS]]),"##")</f>
        <v>##</v>
      </c>
      <c r="AC235" s="3" t="str">
        <f>_xlfn.CONCAT("https://raw.githubusercontent.com/marcelo-pascoal/Semaforos/refs/heads/main/fotosD/",Tabela1[[#This Row],[Foto1]])</f>
        <v>https://raw.githubusercontent.com/marcelo-pascoal/Semaforos/refs/heads/main/fotosD/DSCF7579-1.JPG</v>
      </c>
      <c r="AD235" s="3" t="str">
        <f>_xlfn.CONCAT("https://raw.githubusercontent.com/marcelo-pascoal/Semaforos/refs/heads/main/fotos/",Tabela1[[#This Row],[id_0]],".jpg")</f>
        <v>https://raw.githubusercontent.com/marcelo-pascoal/Semaforos/refs/heads/main/fotos/482.jpg</v>
      </c>
      <c r="AE235" s="3" t="str">
        <f>_xlfn.CONCAT("https://raw.githubusercontent.com/marcelo-pascoal/Semaforos/refs/heads/main/fotosD/",Tabela1[[#This Row],[id_0]],".jpg")</f>
        <v>https://raw.githubusercontent.com/marcelo-pascoal/Semaforos/refs/heads/main/fotosD/482.jpg</v>
      </c>
      <c r="AF235" s="3">
        <v>1</v>
      </c>
    </row>
    <row r="236" spans="1:32" ht="250" customHeight="1" x14ac:dyDescent="0.35">
      <c r="A236" s="2" t="s">
        <v>823</v>
      </c>
      <c r="B236" s="5">
        <v>483</v>
      </c>
      <c r="C236" s="2" t="s">
        <v>827</v>
      </c>
      <c r="D236" s="1" t="s">
        <v>60</v>
      </c>
      <c r="E236" s="2" t="s">
        <v>1147</v>
      </c>
      <c r="F236" s="2" t="s">
        <v>829</v>
      </c>
      <c r="G236" s="1" t="s">
        <v>1145</v>
      </c>
      <c r="H236" s="1" t="s">
        <v>1146</v>
      </c>
      <c r="I236" s="1" t="s">
        <v>828</v>
      </c>
      <c r="J236" s="2" t="s">
        <v>458</v>
      </c>
      <c r="K236" s="2" t="s">
        <v>715</v>
      </c>
      <c r="L236" s="3"/>
      <c r="M236" s="3">
        <v>2</v>
      </c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 t="s">
        <v>40</v>
      </c>
      <c r="Z236" s="3"/>
      <c r="AA236" s="3" t="s">
        <v>233</v>
      </c>
      <c r="AB236" s="6" t="str">
        <f>HYPERLINK(_xlfn.CONCAT("https://www.google.com/maps/search/",Tabela1[[#This Row],[GPS]]),"##")</f>
        <v>##</v>
      </c>
      <c r="AC236" s="3" t="str">
        <f>_xlfn.CONCAT("https://raw.githubusercontent.com/marcelo-pascoal/Semaforos/refs/heads/main/fotosD/",Tabela1[[#This Row],[Foto1]])</f>
        <v>https://raw.githubusercontent.com/marcelo-pascoal/Semaforos/refs/heads/main/fotosD/DSCF7578-1.JPG</v>
      </c>
      <c r="AD236" s="3" t="str">
        <f>_xlfn.CONCAT("https://raw.githubusercontent.com/marcelo-pascoal/Semaforos/refs/heads/main/fotos/",Tabela1[[#This Row],[id_0]],".jpg")</f>
        <v>https://raw.githubusercontent.com/marcelo-pascoal/Semaforos/refs/heads/main/fotos/483.jpg</v>
      </c>
      <c r="AE236" s="3" t="str">
        <f>_xlfn.CONCAT("https://raw.githubusercontent.com/marcelo-pascoal/Semaforos/refs/heads/main/fotosD/",Tabela1[[#This Row],[id_0]],".jpg")</f>
        <v>https://raw.githubusercontent.com/marcelo-pascoal/Semaforos/refs/heads/main/fotosD/483.jpg</v>
      </c>
      <c r="AF236" s="3">
        <v>1</v>
      </c>
    </row>
    <row r="237" spans="1:32" ht="250" customHeight="1" x14ac:dyDescent="0.35">
      <c r="A237" s="2" t="s">
        <v>823</v>
      </c>
      <c r="B237" s="5">
        <v>484</v>
      </c>
      <c r="C237" s="2" t="s">
        <v>830</v>
      </c>
      <c r="D237" s="1" t="s">
        <v>31</v>
      </c>
      <c r="F237" s="2" t="s">
        <v>832</v>
      </c>
      <c r="G237" s="1" t="s">
        <v>1144</v>
      </c>
      <c r="H237" s="1" t="s">
        <v>31</v>
      </c>
      <c r="I237" s="1" t="s">
        <v>831</v>
      </c>
      <c r="J237" s="2" t="s">
        <v>528</v>
      </c>
      <c r="K237" s="2" t="s">
        <v>715</v>
      </c>
      <c r="L237" s="3">
        <v>1</v>
      </c>
      <c r="M237" s="3"/>
      <c r="N237" s="3"/>
      <c r="O237" s="3">
        <v>1</v>
      </c>
      <c r="P237" s="3">
        <v>2</v>
      </c>
      <c r="Q237" s="3">
        <v>2</v>
      </c>
      <c r="R237" s="3"/>
      <c r="S237" s="3"/>
      <c r="T237" s="3"/>
      <c r="U237" s="3"/>
      <c r="V237" s="3"/>
      <c r="W237" s="3"/>
      <c r="X237" s="3"/>
      <c r="Y237" s="3"/>
      <c r="Z237" s="3"/>
      <c r="AA237" s="3" t="s">
        <v>233</v>
      </c>
      <c r="AB237" s="6" t="str">
        <f>HYPERLINK(_xlfn.CONCAT("https://www.google.com/maps/search/",Tabela1[[#This Row],[GPS]]),"##")</f>
        <v>##</v>
      </c>
      <c r="AC237" s="3" t="str">
        <f>_xlfn.CONCAT("https://raw.githubusercontent.com/marcelo-pascoal/Semaforos/refs/heads/main/fotosD/",Tabela1[[#This Row],[Foto1]])</f>
        <v>https://raw.githubusercontent.com/marcelo-pascoal/Semaforos/refs/heads/main/fotosD/DSCF7576-1.JPG</v>
      </c>
      <c r="AD237" s="3" t="str">
        <f>_xlfn.CONCAT("https://raw.githubusercontent.com/marcelo-pascoal/Semaforos/refs/heads/main/fotos/",Tabela1[[#This Row],[id_0]],".jpg")</f>
        <v>https://raw.githubusercontent.com/marcelo-pascoal/Semaforos/refs/heads/main/fotos/484.jpg</v>
      </c>
      <c r="AE237" s="3" t="str">
        <f>_xlfn.CONCAT("https://raw.githubusercontent.com/marcelo-pascoal/Semaforos/refs/heads/main/fotosD/",Tabela1[[#This Row],[id_0]],".jpg")</f>
        <v>https://raw.githubusercontent.com/marcelo-pascoal/Semaforos/refs/heads/main/fotosD/484.jpg</v>
      </c>
      <c r="AF237" s="3">
        <v>1</v>
      </c>
    </row>
    <row r="238" spans="1:32" ht="250" customHeight="1" x14ac:dyDescent="0.35">
      <c r="A238" s="2" t="s">
        <v>823</v>
      </c>
      <c r="B238" s="5">
        <v>485</v>
      </c>
      <c r="C238" s="2" t="s">
        <v>833</v>
      </c>
      <c r="D238" s="1" t="s">
        <v>31</v>
      </c>
      <c r="F238" s="2" t="s">
        <v>829</v>
      </c>
      <c r="G238" s="1" t="s">
        <v>1144</v>
      </c>
      <c r="H238" s="1" t="s">
        <v>31</v>
      </c>
      <c r="I238" s="1" t="s">
        <v>834</v>
      </c>
      <c r="K238" s="2" t="s">
        <v>715</v>
      </c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 t="s">
        <v>233</v>
      </c>
      <c r="AB238" s="6" t="str">
        <f>HYPERLINK(_xlfn.CONCAT("https://www.google.com/maps/search/",Tabela1[[#This Row],[GPS]]),"##")</f>
        <v>##</v>
      </c>
      <c r="AC238" s="3" t="str">
        <f>_xlfn.CONCAT("https://raw.githubusercontent.com/marcelo-pascoal/Semaforos/refs/heads/main/fotosD/",Tabela1[[#This Row],[Foto1]])</f>
        <v>https://raw.githubusercontent.com/marcelo-pascoal/Semaforos/refs/heads/main/fotosD/DSCF7578-1.JPG</v>
      </c>
      <c r="AD238" s="3" t="str">
        <f>_xlfn.CONCAT("https://raw.githubusercontent.com/marcelo-pascoal/Semaforos/refs/heads/main/fotos/",Tabela1[[#This Row],[id_0]],".jpg")</f>
        <v>https://raw.githubusercontent.com/marcelo-pascoal/Semaforos/refs/heads/main/fotos/485.jpg</v>
      </c>
      <c r="AE238" s="3" t="str">
        <f>_xlfn.CONCAT("https://raw.githubusercontent.com/marcelo-pascoal/Semaforos/refs/heads/main/fotosD/",Tabela1[[#This Row],[id_0]],".jpg")</f>
        <v>https://raw.githubusercontent.com/marcelo-pascoal/Semaforos/refs/heads/main/fotosD/485.jpg</v>
      </c>
      <c r="AF238" s="3">
        <v>1</v>
      </c>
    </row>
    <row r="239" spans="1:32" ht="250" customHeight="1" x14ac:dyDescent="0.35">
      <c r="A239" s="2" t="s">
        <v>835</v>
      </c>
      <c r="B239" s="5">
        <v>107</v>
      </c>
      <c r="C239" s="2" t="s">
        <v>836</v>
      </c>
      <c r="D239" s="1" t="s">
        <v>31</v>
      </c>
      <c r="E239" s="2" t="s">
        <v>1147</v>
      </c>
      <c r="F239" s="2" t="s">
        <v>839</v>
      </c>
      <c r="G239" s="1" t="s">
        <v>1144</v>
      </c>
      <c r="H239" s="1" t="s">
        <v>31</v>
      </c>
      <c r="I239" s="1" t="s">
        <v>837</v>
      </c>
      <c r="J239" s="2" t="s">
        <v>838</v>
      </c>
      <c r="K239" s="2" t="s">
        <v>658</v>
      </c>
      <c r="L239" s="3"/>
      <c r="M239" s="3">
        <v>2</v>
      </c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 t="s">
        <v>35</v>
      </c>
      <c r="AB239" s="6" t="str">
        <f>HYPERLINK(_xlfn.CONCAT("https://www.google.com/maps/search/",Tabela1[[#This Row],[GPS]]),"##")</f>
        <v>##</v>
      </c>
      <c r="AC239" s="3" t="str">
        <f>_xlfn.CONCAT("https://raw.githubusercontent.com/marcelo-pascoal/Semaforos/refs/heads/main/fotosD/",Tabela1[[#This Row],[Foto1]])</f>
        <v>https://raw.githubusercontent.com/marcelo-pascoal/Semaforos/refs/heads/main/fotosD/DSCF7648.JPG</v>
      </c>
      <c r="AD239" s="3" t="str">
        <f>_xlfn.CONCAT("https://raw.githubusercontent.com/marcelo-pascoal/Semaforos/refs/heads/main/fotos/",Tabela1[[#This Row],[id_0]],".jpg")</f>
        <v>https://raw.githubusercontent.com/marcelo-pascoal/Semaforos/refs/heads/main/fotos/107.jpg</v>
      </c>
      <c r="AE239" s="3" t="str">
        <f>_xlfn.CONCAT("https://raw.githubusercontent.com/marcelo-pascoal/Semaforos/refs/heads/main/fotosD/",Tabela1[[#This Row],[id_0]],".jpg")</f>
        <v>https://raw.githubusercontent.com/marcelo-pascoal/Semaforos/refs/heads/main/fotosD/107.jpg</v>
      </c>
      <c r="AF239" s="3">
        <v>5</v>
      </c>
    </row>
    <row r="240" spans="1:32" ht="250" customHeight="1" x14ac:dyDescent="0.35">
      <c r="A240" s="2" t="s">
        <v>835</v>
      </c>
      <c r="B240" s="5">
        <v>108</v>
      </c>
      <c r="C240" s="2" t="s">
        <v>840</v>
      </c>
      <c r="D240" s="1" t="s">
        <v>38</v>
      </c>
      <c r="E240" s="2" t="s">
        <v>1147</v>
      </c>
      <c r="F240" s="2" t="s">
        <v>843</v>
      </c>
      <c r="G240" s="1" t="s">
        <v>1144</v>
      </c>
      <c r="H240" s="1" t="s">
        <v>1146</v>
      </c>
      <c r="I240" s="1" t="s">
        <v>841</v>
      </c>
      <c r="J240" s="2" t="s">
        <v>842</v>
      </c>
      <c r="K240" s="2" t="s">
        <v>658</v>
      </c>
      <c r="L240" s="3"/>
      <c r="M240" s="3"/>
      <c r="N240" s="3"/>
      <c r="O240" s="3">
        <v>1</v>
      </c>
      <c r="P240" s="3">
        <v>1</v>
      </c>
      <c r="Q240" s="3">
        <v>1</v>
      </c>
      <c r="R240" s="3"/>
      <c r="S240" s="3"/>
      <c r="T240" s="3"/>
      <c r="U240" s="3"/>
      <c r="V240" s="3"/>
      <c r="W240" s="3"/>
      <c r="X240" s="3"/>
      <c r="Y240" s="3"/>
      <c r="Z240" s="3"/>
      <c r="AA240" s="3" t="s">
        <v>35</v>
      </c>
      <c r="AB240" s="6" t="str">
        <f>HYPERLINK(_xlfn.CONCAT("https://www.google.com/maps/search/",Tabela1[[#This Row],[GPS]]),"##")</f>
        <v>##</v>
      </c>
      <c r="AC240" s="3" t="str">
        <f>_xlfn.CONCAT("https://raw.githubusercontent.com/marcelo-pascoal/Semaforos/refs/heads/main/fotosD/",Tabela1[[#This Row],[Foto1]])</f>
        <v>https://raw.githubusercontent.com/marcelo-pascoal/Semaforos/refs/heads/main/fotosD/DSCF7644.JPG</v>
      </c>
      <c r="AD240" s="3" t="str">
        <f>_xlfn.CONCAT("https://raw.githubusercontent.com/marcelo-pascoal/Semaforos/refs/heads/main/fotos/",Tabela1[[#This Row],[id_0]],".jpg")</f>
        <v>https://raw.githubusercontent.com/marcelo-pascoal/Semaforos/refs/heads/main/fotos/108.jpg</v>
      </c>
      <c r="AE240" s="3" t="str">
        <f>_xlfn.CONCAT("https://raw.githubusercontent.com/marcelo-pascoal/Semaforos/refs/heads/main/fotosD/",Tabela1[[#This Row],[id_0]],".jpg")</f>
        <v>https://raw.githubusercontent.com/marcelo-pascoal/Semaforos/refs/heads/main/fotosD/108.jpg</v>
      </c>
      <c r="AF240" s="3">
        <v>5</v>
      </c>
    </row>
    <row r="241" spans="1:32" ht="250" customHeight="1" x14ac:dyDescent="0.35">
      <c r="A241" s="2" t="s">
        <v>835</v>
      </c>
      <c r="B241" s="5">
        <v>109</v>
      </c>
      <c r="C241" s="2" t="s">
        <v>844</v>
      </c>
      <c r="D241" s="1" t="s">
        <v>38</v>
      </c>
      <c r="E241" s="2" t="s">
        <v>1147</v>
      </c>
      <c r="F241" s="2" t="s">
        <v>846</v>
      </c>
      <c r="G241" s="1" t="s">
        <v>1144</v>
      </c>
      <c r="H241" s="1" t="s">
        <v>1146</v>
      </c>
      <c r="I241" s="1" t="s">
        <v>845</v>
      </c>
      <c r="J241" s="2" t="s">
        <v>842</v>
      </c>
      <c r="K241" s="2" t="s">
        <v>658</v>
      </c>
      <c r="L241" s="3"/>
      <c r="M241" s="3"/>
      <c r="N241" s="3"/>
      <c r="O241" s="3">
        <v>1</v>
      </c>
      <c r="P241" s="3">
        <v>1</v>
      </c>
      <c r="Q241" s="3">
        <v>1</v>
      </c>
      <c r="R241" s="3"/>
      <c r="S241" s="3"/>
      <c r="T241" s="3"/>
      <c r="U241" s="3"/>
      <c r="V241" s="3"/>
      <c r="W241" s="3"/>
      <c r="X241" s="3"/>
      <c r="Y241" s="3"/>
      <c r="Z241" s="3"/>
      <c r="AA241" s="3" t="s">
        <v>35</v>
      </c>
      <c r="AB241" s="6" t="str">
        <f>HYPERLINK(_xlfn.CONCAT("https://www.google.com/maps/search/",Tabela1[[#This Row],[GPS]]),"##")</f>
        <v>##</v>
      </c>
      <c r="AC241" s="3" t="str">
        <f>_xlfn.CONCAT("https://raw.githubusercontent.com/marcelo-pascoal/Semaforos/refs/heads/main/fotosD/",Tabela1[[#This Row],[Foto1]])</f>
        <v>https://raw.githubusercontent.com/marcelo-pascoal/Semaforos/refs/heads/main/fotosD/DSCF7643.JPG</v>
      </c>
      <c r="AD241" s="3" t="str">
        <f>_xlfn.CONCAT("https://raw.githubusercontent.com/marcelo-pascoal/Semaforos/refs/heads/main/fotos/",Tabela1[[#This Row],[id_0]],".jpg")</f>
        <v>https://raw.githubusercontent.com/marcelo-pascoal/Semaforos/refs/heads/main/fotos/109.jpg</v>
      </c>
      <c r="AE241" s="3" t="str">
        <f>_xlfn.CONCAT("https://raw.githubusercontent.com/marcelo-pascoal/Semaforos/refs/heads/main/fotosD/",Tabela1[[#This Row],[id_0]],".jpg")</f>
        <v>https://raw.githubusercontent.com/marcelo-pascoal/Semaforos/refs/heads/main/fotosD/109.jpg</v>
      </c>
      <c r="AF241" s="3">
        <v>5</v>
      </c>
    </row>
    <row r="242" spans="1:32" ht="250" customHeight="1" x14ac:dyDescent="0.35">
      <c r="A242" s="2" t="s">
        <v>835</v>
      </c>
      <c r="B242" s="5">
        <v>110</v>
      </c>
      <c r="C242" s="2" t="s">
        <v>847</v>
      </c>
      <c r="D242" s="1" t="s">
        <v>60</v>
      </c>
      <c r="E242" s="2" t="s">
        <v>1147</v>
      </c>
      <c r="F242" s="2" t="s">
        <v>849</v>
      </c>
      <c r="G242" s="1" t="s">
        <v>1145</v>
      </c>
      <c r="H242" s="1" t="s">
        <v>1146</v>
      </c>
      <c r="I242" s="1" t="s">
        <v>848</v>
      </c>
      <c r="J242" s="2" t="s">
        <v>838</v>
      </c>
      <c r="K242" s="2" t="s">
        <v>658</v>
      </c>
      <c r="L242" s="3">
        <v>1</v>
      </c>
      <c r="M242" s="3"/>
      <c r="N242" s="3"/>
      <c r="O242" s="3">
        <v>1</v>
      </c>
      <c r="P242" s="3">
        <v>3</v>
      </c>
      <c r="Q242" s="3">
        <v>2</v>
      </c>
      <c r="R242" s="3">
        <v>1</v>
      </c>
      <c r="S242" s="3">
        <v>1</v>
      </c>
      <c r="T242" s="3">
        <v>1</v>
      </c>
      <c r="U242" s="3"/>
      <c r="V242" s="3"/>
      <c r="W242" s="3"/>
      <c r="X242" s="3"/>
      <c r="Y242" s="3" t="s">
        <v>40</v>
      </c>
      <c r="Z242" s="3"/>
      <c r="AA242" s="3" t="s">
        <v>35</v>
      </c>
      <c r="AB242" s="6" t="str">
        <f>HYPERLINK(_xlfn.CONCAT("https://www.google.com/maps/search/",Tabela1[[#This Row],[GPS]]),"##")</f>
        <v>##</v>
      </c>
      <c r="AC242" s="3" t="str">
        <f>_xlfn.CONCAT("https://raw.githubusercontent.com/marcelo-pascoal/Semaforos/refs/heads/main/fotosD/",Tabela1[[#This Row],[Foto1]])</f>
        <v>https://raw.githubusercontent.com/marcelo-pascoal/Semaforos/refs/heads/main/fotosD/DSCF7645.JPG</v>
      </c>
      <c r="AD242" s="3" t="str">
        <f>_xlfn.CONCAT("https://raw.githubusercontent.com/marcelo-pascoal/Semaforos/refs/heads/main/fotos/",Tabela1[[#This Row],[id_0]],".jpg")</f>
        <v>https://raw.githubusercontent.com/marcelo-pascoal/Semaforos/refs/heads/main/fotos/110.jpg</v>
      </c>
      <c r="AE242" s="3" t="str">
        <f>_xlfn.CONCAT("https://raw.githubusercontent.com/marcelo-pascoal/Semaforos/refs/heads/main/fotosD/",Tabela1[[#This Row],[id_0]],".jpg")</f>
        <v>https://raw.githubusercontent.com/marcelo-pascoal/Semaforos/refs/heads/main/fotosD/110.jpg</v>
      </c>
      <c r="AF242" s="3">
        <v>1</v>
      </c>
    </row>
    <row r="243" spans="1:32" ht="250" customHeight="1" x14ac:dyDescent="0.35">
      <c r="A243" s="2" t="s">
        <v>835</v>
      </c>
      <c r="B243" s="5">
        <v>111</v>
      </c>
      <c r="C243" s="2" t="s">
        <v>850</v>
      </c>
      <c r="D243" s="1" t="s">
        <v>60</v>
      </c>
      <c r="E243" s="2" t="s">
        <v>1147</v>
      </c>
      <c r="F243" s="2" t="s">
        <v>852</v>
      </c>
      <c r="G243" s="1" t="s">
        <v>1145</v>
      </c>
      <c r="H243" s="1" t="s">
        <v>1146</v>
      </c>
      <c r="I243" s="1" t="s">
        <v>851</v>
      </c>
      <c r="J243" s="2" t="s">
        <v>838</v>
      </c>
      <c r="K243" s="2" t="s">
        <v>658</v>
      </c>
      <c r="L243" s="3">
        <v>1</v>
      </c>
      <c r="M243" s="3"/>
      <c r="N243" s="3"/>
      <c r="O243" s="3">
        <v>1</v>
      </c>
      <c r="P243" s="3">
        <v>2</v>
      </c>
      <c r="Q243" s="3">
        <v>2</v>
      </c>
      <c r="R243" s="3">
        <v>1</v>
      </c>
      <c r="S243" s="3">
        <v>1</v>
      </c>
      <c r="T243" s="3">
        <v>1</v>
      </c>
      <c r="U243" s="3">
        <v>1</v>
      </c>
      <c r="V243" s="3">
        <v>1</v>
      </c>
      <c r="W243" s="3" t="s">
        <v>40</v>
      </c>
      <c r="X243" s="3" t="s">
        <v>40</v>
      </c>
      <c r="Y243" s="3"/>
      <c r="Z243" s="3"/>
      <c r="AA243" s="3" t="s">
        <v>35</v>
      </c>
      <c r="AB243" s="6" t="str">
        <f>HYPERLINK(_xlfn.CONCAT("https://www.google.com/maps/search/",Tabela1[[#This Row],[GPS]]),"##")</f>
        <v>##</v>
      </c>
      <c r="AC243" s="3" t="str">
        <f>_xlfn.CONCAT("https://raw.githubusercontent.com/marcelo-pascoal/Semaforos/refs/heads/main/fotosD/",Tabela1[[#This Row],[Foto1]])</f>
        <v>https://raw.githubusercontent.com/marcelo-pascoal/Semaforos/refs/heads/main/fotosD/DSCF7633.JPG</v>
      </c>
      <c r="AD243" s="3" t="str">
        <f>_xlfn.CONCAT("https://raw.githubusercontent.com/marcelo-pascoal/Semaforos/refs/heads/main/fotos/",Tabela1[[#This Row],[id_0]],".jpg")</f>
        <v>https://raw.githubusercontent.com/marcelo-pascoal/Semaforos/refs/heads/main/fotos/111.jpg</v>
      </c>
      <c r="AE243" s="3" t="str">
        <f>_xlfn.CONCAT("https://raw.githubusercontent.com/marcelo-pascoal/Semaforos/refs/heads/main/fotosD/",Tabela1[[#This Row],[id_0]],".jpg")</f>
        <v>https://raw.githubusercontent.com/marcelo-pascoal/Semaforos/refs/heads/main/fotosD/111.jpg</v>
      </c>
      <c r="AF243" s="3">
        <v>5</v>
      </c>
    </row>
    <row r="244" spans="1:32" ht="250" customHeight="1" x14ac:dyDescent="0.35">
      <c r="A244" s="2" t="s">
        <v>835</v>
      </c>
      <c r="B244" s="5">
        <v>112</v>
      </c>
      <c r="C244" s="2" t="s">
        <v>853</v>
      </c>
      <c r="D244" s="1" t="s">
        <v>31</v>
      </c>
      <c r="E244" s="2" t="s">
        <v>1147</v>
      </c>
      <c r="F244" s="2" t="s">
        <v>855</v>
      </c>
      <c r="G244" s="1" t="s">
        <v>1144</v>
      </c>
      <c r="H244" s="1" t="s">
        <v>31</v>
      </c>
      <c r="I244" s="1" t="s">
        <v>854</v>
      </c>
      <c r="J244" s="2" t="s">
        <v>838</v>
      </c>
      <c r="K244" s="2" t="s">
        <v>658</v>
      </c>
      <c r="L244" s="3"/>
      <c r="M244" s="3">
        <v>2</v>
      </c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 t="s">
        <v>35</v>
      </c>
      <c r="AB244" s="6" t="str">
        <f>HYPERLINK(_xlfn.CONCAT("https://www.google.com/maps/search/",Tabela1[[#This Row],[GPS]]),"##")</f>
        <v>##</v>
      </c>
      <c r="AC244" s="3" t="str">
        <f>_xlfn.CONCAT("https://raw.githubusercontent.com/marcelo-pascoal/Semaforos/refs/heads/main/fotosD/",Tabela1[[#This Row],[Foto1]])</f>
        <v>https://raw.githubusercontent.com/marcelo-pascoal/Semaforos/refs/heads/main/fotosD/DSCF7632.JPG</v>
      </c>
      <c r="AD244" s="3" t="str">
        <f>_xlfn.CONCAT("https://raw.githubusercontent.com/marcelo-pascoal/Semaforos/refs/heads/main/fotos/",Tabela1[[#This Row],[id_0]],".jpg")</f>
        <v>https://raw.githubusercontent.com/marcelo-pascoal/Semaforos/refs/heads/main/fotos/112.jpg</v>
      </c>
      <c r="AE244" s="3" t="str">
        <f>_xlfn.CONCAT("https://raw.githubusercontent.com/marcelo-pascoal/Semaforos/refs/heads/main/fotosD/",Tabela1[[#This Row],[id_0]],".jpg")</f>
        <v>https://raw.githubusercontent.com/marcelo-pascoal/Semaforos/refs/heads/main/fotosD/112.jpg</v>
      </c>
      <c r="AF244" s="3">
        <v>1</v>
      </c>
    </row>
    <row r="245" spans="1:32" ht="250" customHeight="1" x14ac:dyDescent="0.35">
      <c r="A245" s="2" t="s">
        <v>835</v>
      </c>
      <c r="B245" s="5">
        <v>475</v>
      </c>
      <c r="C245" s="2" t="s">
        <v>856</v>
      </c>
      <c r="D245" s="1" t="s">
        <v>38</v>
      </c>
      <c r="E245" s="2" t="s">
        <v>1147</v>
      </c>
      <c r="F245" s="2" t="s">
        <v>858</v>
      </c>
      <c r="G245" s="1" t="s">
        <v>1144</v>
      </c>
      <c r="H245" s="1" t="s">
        <v>1146</v>
      </c>
      <c r="I245" s="1" t="s">
        <v>857</v>
      </c>
      <c r="J245" s="2" t="s">
        <v>838</v>
      </c>
      <c r="K245" s="2" t="s">
        <v>658</v>
      </c>
      <c r="L245" s="3"/>
      <c r="M245" s="3"/>
      <c r="N245" s="3"/>
      <c r="O245" s="3"/>
      <c r="P245" s="3">
        <v>1</v>
      </c>
      <c r="Q245" s="3"/>
      <c r="R245" s="3"/>
      <c r="S245" s="3"/>
      <c r="T245" s="3"/>
      <c r="U245" s="3">
        <v>1</v>
      </c>
      <c r="V245" s="3">
        <v>1</v>
      </c>
      <c r="W245" s="3" t="s">
        <v>40</v>
      </c>
      <c r="X245" s="3" t="s">
        <v>40</v>
      </c>
      <c r="Y245" s="3"/>
      <c r="Z245" s="3"/>
      <c r="AA245" s="3" t="s">
        <v>35</v>
      </c>
      <c r="AB245" s="6" t="str">
        <f>HYPERLINK(_xlfn.CONCAT("https://www.google.com/maps/search/",Tabela1[[#This Row],[GPS]]),"##")</f>
        <v>##</v>
      </c>
      <c r="AC245" s="3" t="str">
        <f>_xlfn.CONCAT("https://raw.githubusercontent.com/marcelo-pascoal/Semaforos/refs/heads/main/fotosD/",Tabela1[[#This Row],[Foto1]])</f>
        <v>https://raw.githubusercontent.com/marcelo-pascoal/Semaforos/refs/heads/main/fotosD/DSCF7639.JPG</v>
      </c>
      <c r="AD245" s="3" t="str">
        <f>_xlfn.CONCAT("https://raw.githubusercontent.com/marcelo-pascoal/Semaforos/refs/heads/main/fotos/",Tabela1[[#This Row],[id_0]],".jpg")</f>
        <v>https://raw.githubusercontent.com/marcelo-pascoal/Semaforos/refs/heads/main/fotos/475.jpg</v>
      </c>
      <c r="AE245" s="3" t="str">
        <f>_xlfn.CONCAT("https://raw.githubusercontent.com/marcelo-pascoal/Semaforos/refs/heads/main/fotosD/",Tabela1[[#This Row],[id_0]],".jpg")</f>
        <v>https://raw.githubusercontent.com/marcelo-pascoal/Semaforos/refs/heads/main/fotosD/475.jpg</v>
      </c>
      <c r="AF245" s="3">
        <v>5</v>
      </c>
    </row>
    <row r="246" spans="1:32" ht="250" customHeight="1" x14ac:dyDescent="0.35">
      <c r="A246" s="2" t="s">
        <v>859</v>
      </c>
      <c r="B246" s="5">
        <v>104</v>
      </c>
      <c r="C246" s="2" t="s">
        <v>860</v>
      </c>
      <c r="D246" s="1" t="s">
        <v>60</v>
      </c>
      <c r="E246" s="2" t="s">
        <v>1147</v>
      </c>
      <c r="F246" s="2" t="s">
        <v>862</v>
      </c>
      <c r="G246" s="1" t="s">
        <v>1145</v>
      </c>
      <c r="H246" s="1" t="s">
        <v>1146</v>
      </c>
      <c r="I246" s="1" t="s">
        <v>861</v>
      </c>
      <c r="J246" s="2" t="s">
        <v>838</v>
      </c>
      <c r="K246" s="2" t="s">
        <v>658</v>
      </c>
      <c r="L246" s="3">
        <v>2</v>
      </c>
      <c r="M246" s="3"/>
      <c r="N246" s="3"/>
      <c r="O246" s="3">
        <v>1</v>
      </c>
      <c r="P246" s="3">
        <v>3</v>
      </c>
      <c r="Q246" s="3">
        <v>3</v>
      </c>
      <c r="R246" s="3">
        <v>1</v>
      </c>
      <c r="S246" s="3">
        <v>1</v>
      </c>
      <c r="T246" s="3">
        <v>1</v>
      </c>
      <c r="U246" s="3">
        <v>1</v>
      </c>
      <c r="V246" s="3">
        <v>1</v>
      </c>
      <c r="W246" s="3" t="s">
        <v>40</v>
      </c>
      <c r="X246" s="3" t="s">
        <v>40</v>
      </c>
      <c r="Y246" s="3" t="s">
        <v>40</v>
      </c>
      <c r="Z246" s="3"/>
      <c r="AA246" s="3" t="s">
        <v>35</v>
      </c>
      <c r="AB246" s="6" t="str">
        <f>HYPERLINK(_xlfn.CONCAT("https://www.google.com/maps/search/",Tabela1[[#This Row],[GPS]]),"##")</f>
        <v>##</v>
      </c>
      <c r="AC246" s="3" t="str">
        <f>_xlfn.CONCAT("https://raw.githubusercontent.com/marcelo-pascoal/Semaforos/refs/heads/main/fotosD/",Tabela1[[#This Row],[Foto1]])</f>
        <v>https://raw.githubusercontent.com/marcelo-pascoal/Semaforos/refs/heads/main/fotosD/DSCF7658.JPG</v>
      </c>
      <c r="AD246" s="3" t="str">
        <f>_xlfn.CONCAT("https://raw.githubusercontent.com/marcelo-pascoal/Semaforos/refs/heads/main/fotos/",Tabela1[[#This Row],[id_0]],".jpg")</f>
        <v>https://raw.githubusercontent.com/marcelo-pascoal/Semaforos/refs/heads/main/fotos/104.jpg</v>
      </c>
      <c r="AE246" s="3" t="str">
        <f>_xlfn.CONCAT("https://raw.githubusercontent.com/marcelo-pascoal/Semaforos/refs/heads/main/fotosD/",Tabela1[[#This Row],[id_0]],".jpg")</f>
        <v>https://raw.githubusercontent.com/marcelo-pascoal/Semaforos/refs/heads/main/fotosD/104.jpg</v>
      </c>
      <c r="AF246" s="3">
        <v>1</v>
      </c>
    </row>
    <row r="247" spans="1:32" ht="250" customHeight="1" x14ac:dyDescent="0.35">
      <c r="A247" s="2" t="s">
        <v>859</v>
      </c>
      <c r="B247" s="5">
        <v>105</v>
      </c>
      <c r="C247" s="2" t="s">
        <v>863</v>
      </c>
      <c r="D247" s="1" t="s">
        <v>38</v>
      </c>
      <c r="E247" s="2" t="s">
        <v>1147</v>
      </c>
      <c r="F247" s="2" t="s">
        <v>865</v>
      </c>
      <c r="G247" s="1" t="s">
        <v>1144</v>
      </c>
      <c r="H247" s="1" t="s">
        <v>1146</v>
      </c>
      <c r="I247" s="1" t="s">
        <v>864</v>
      </c>
      <c r="J247" s="2" t="s">
        <v>838</v>
      </c>
      <c r="K247" s="2" t="s">
        <v>658</v>
      </c>
      <c r="L247" s="3"/>
      <c r="M247" s="3"/>
      <c r="N247" s="3"/>
      <c r="O247" s="3">
        <v>1</v>
      </c>
      <c r="P247" s="3">
        <v>1</v>
      </c>
      <c r="Q247" s="3">
        <v>1</v>
      </c>
      <c r="R247" s="3">
        <v>1</v>
      </c>
      <c r="S247" s="3">
        <v>1</v>
      </c>
      <c r="T247" s="3">
        <v>1</v>
      </c>
      <c r="U247" s="3">
        <v>1</v>
      </c>
      <c r="V247" s="3">
        <v>1</v>
      </c>
      <c r="W247" s="3" t="s">
        <v>40</v>
      </c>
      <c r="X247" s="3" t="s">
        <v>40</v>
      </c>
      <c r="Y247" s="3"/>
      <c r="Z247" s="3"/>
      <c r="AA247" s="3" t="s">
        <v>35</v>
      </c>
      <c r="AB247" s="6" t="str">
        <f>HYPERLINK(_xlfn.CONCAT("https://www.google.com/maps/search/",Tabela1[[#This Row],[GPS]]),"##")</f>
        <v>##</v>
      </c>
      <c r="AC247" s="3" t="str">
        <f>_xlfn.CONCAT("https://raw.githubusercontent.com/marcelo-pascoal/Semaforos/refs/heads/main/fotosD/",Tabela1[[#This Row],[Foto1]])</f>
        <v>https://raw.githubusercontent.com/marcelo-pascoal/Semaforos/refs/heads/main/fotosD/DSCF7660.JPG</v>
      </c>
      <c r="AD247" s="3" t="str">
        <f>_xlfn.CONCAT("https://raw.githubusercontent.com/marcelo-pascoal/Semaforos/refs/heads/main/fotos/",Tabela1[[#This Row],[id_0]],".jpg")</f>
        <v>https://raw.githubusercontent.com/marcelo-pascoal/Semaforos/refs/heads/main/fotos/105.jpg</v>
      </c>
      <c r="AE247" s="3" t="str">
        <f>_xlfn.CONCAT("https://raw.githubusercontent.com/marcelo-pascoal/Semaforos/refs/heads/main/fotosD/",Tabela1[[#This Row],[id_0]],".jpg")</f>
        <v>https://raw.githubusercontent.com/marcelo-pascoal/Semaforos/refs/heads/main/fotosD/105.jpg</v>
      </c>
      <c r="AF247" s="3">
        <v>1</v>
      </c>
    </row>
    <row r="248" spans="1:32" ht="250" customHeight="1" x14ac:dyDescent="0.35">
      <c r="A248" s="2" t="s">
        <v>859</v>
      </c>
      <c r="B248" s="5">
        <v>106</v>
      </c>
      <c r="C248" s="2" t="s">
        <v>866</v>
      </c>
      <c r="D248" s="1" t="s">
        <v>31</v>
      </c>
      <c r="E248" s="2" t="s">
        <v>1147</v>
      </c>
      <c r="F248" s="2" t="s">
        <v>868</v>
      </c>
      <c r="G248" s="1" t="s">
        <v>1144</v>
      </c>
      <c r="H248" s="1" t="s">
        <v>31</v>
      </c>
      <c r="I248" s="1" t="s">
        <v>867</v>
      </c>
      <c r="J248" s="2" t="s">
        <v>838</v>
      </c>
      <c r="K248" s="2" t="s">
        <v>658</v>
      </c>
      <c r="L248" s="3"/>
      <c r="M248" s="3">
        <v>2</v>
      </c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 t="s">
        <v>35</v>
      </c>
      <c r="AB248" s="6" t="str">
        <f>HYPERLINK(_xlfn.CONCAT("https://www.google.com/maps/search/",Tabela1[[#This Row],[GPS]]),"##")</f>
        <v>##</v>
      </c>
      <c r="AC248" s="3" t="str">
        <f>_xlfn.CONCAT("https://raw.githubusercontent.com/marcelo-pascoal/Semaforos/refs/heads/main/fotosD/",Tabela1[[#This Row],[Foto1]])</f>
        <v>https://raw.githubusercontent.com/marcelo-pascoal/Semaforos/refs/heads/main/fotosD/DSCF7653.JPG</v>
      </c>
      <c r="AD248" s="3" t="str">
        <f>_xlfn.CONCAT("https://raw.githubusercontent.com/marcelo-pascoal/Semaforos/refs/heads/main/fotos/",Tabela1[[#This Row],[id_0]],".jpg")</f>
        <v>https://raw.githubusercontent.com/marcelo-pascoal/Semaforos/refs/heads/main/fotos/106.jpg</v>
      </c>
      <c r="AE248" s="3" t="str">
        <f>_xlfn.CONCAT("https://raw.githubusercontent.com/marcelo-pascoal/Semaforos/refs/heads/main/fotosD/",Tabela1[[#This Row],[id_0]],".jpg")</f>
        <v>https://raw.githubusercontent.com/marcelo-pascoal/Semaforos/refs/heads/main/fotosD/106.jpg</v>
      </c>
      <c r="AF248" s="3">
        <v>1</v>
      </c>
    </row>
    <row r="249" spans="1:32" ht="250" customHeight="1" x14ac:dyDescent="0.35">
      <c r="A249" s="2" t="s">
        <v>869</v>
      </c>
      <c r="B249" s="5">
        <v>103</v>
      </c>
      <c r="C249" s="2" t="s">
        <v>870</v>
      </c>
      <c r="D249" s="1" t="s">
        <v>60</v>
      </c>
      <c r="E249" s="2" t="s">
        <v>1147</v>
      </c>
      <c r="F249" s="2" t="s">
        <v>872</v>
      </c>
      <c r="G249" s="1" t="s">
        <v>1145</v>
      </c>
      <c r="H249" s="1" t="s">
        <v>1146</v>
      </c>
      <c r="I249" s="1" t="s">
        <v>871</v>
      </c>
      <c r="J249" s="2" t="s">
        <v>838</v>
      </c>
      <c r="K249" s="2" t="s">
        <v>658</v>
      </c>
      <c r="L249" s="3">
        <v>1</v>
      </c>
      <c r="M249" s="3"/>
      <c r="N249" s="3"/>
      <c r="O249" s="3">
        <v>1</v>
      </c>
      <c r="P249" s="3">
        <v>2</v>
      </c>
      <c r="Q249" s="3">
        <v>2</v>
      </c>
      <c r="R249" s="3">
        <v>1</v>
      </c>
      <c r="S249" s="3">
        <v>1</v>
      </c>
      <c r="T249" s="3">
        <v>1</v>
      </c>
      <c r="U249" s="3"/>
      <c r="V249" s="3"/>
      <c r="W249" s="3" t="s">
        <v>40</v>
      </c>
      <c r="X249" s="3"/>
      <c r="Y249" s="3" t="s">
        <v>40</v>
      </c>
      <c r="Z249" s="3"/>
      <c r="AA249" s="3" t="s">
        <v>35</v>
      </c>
      <c r="AB249" s="6" t="str">
        <f>HYPERLINK(_xlfn.CONCAT("https://www.google.com/maps/search/",Tabela1[[#This Row],[GPS]]),"##")</f>
        <v>##</v>
      </c>
      <c r="AC249" s="3" t="str">
        <f>_xlfn.CONCAT("https://raw.githubusercontent.com/marcelo-pascoal/Semaforos/refs/heads/main/fotosD/",Tabela1[[#This Row],[Foto1]])</f>
        <v>https://raw.githubusercontent.com/marcelo-pascoal/Semaforos/refs/heads/main/fotosD/DSCF7665.JPG</v>
      </c>
      <c r="AD249" s="3" t="str">
        <f>_xlfn.CONCAT("https://raw.githubusercontent.com/marcelo-pascoal/Semaforos/refs/heads/main/fotos/",Tabela1[[#This Row],[id_0]],".jpg")</f>
        <v>https://raw.githubusercontent.com/marcelo-pascoal/Semaforos/refs/heads/main/fotos/103.jpg</v>
      </c>
      <c r="AE249" s="3" t="str">
        <f>_xlfn.CONCAT("https://raw.githubusercontent.com/marcelo-pascoal/Semaforos/refs/heads/main/fotosD/",Tabela1[[#This Row],[id_0]],".jpg")</f>
        <v>https://raw.githubusercontent.com/marcelo-pascoal/Semaforos/refs/heads/main/fotosD/103.jpg</v>
      </c>
      <c r="AF249" s="3">
        <v>1</v>
      </c>
    </row>
    <row r="250" spans="1:32" ht="250" customHeight="1" x14ac:dyDescent="0.35">
      <c r="A250" s="2" t="s">
        <v>869</v>
      </c>
      <c r="B250" s="5">
        <v>476</v>
      </c>
      <c r="C250" s="2" t="s">
        <v>873</v>
      </c>
      <c r="D250" s="1" t="s">
        <v>31</v>
      </c>
      <c r="E250" s="2" t="s">
        <v>1147</v>
      </c>
      <c r="F250" s="2" t="s">
        <v>875</v>
      </c>
      <c r="G250" s="1" t="s">
        <v>1144</v>
      </c>
      <c r="H250" s="1" t="s">
        <v>31</v>
      </c>
      <c r="I250" s="1" t="s">
        <v>874</v>
      </c>
      <c r="J250" s="2" t="s">
        <v>838</v>
      </c>
      <c r="K250" s="2" t="s">
        <v>658</v>
      </c>
      <c r="L250" s="3"/>
      <c r="M250" s="3">
        <v>2</v>
      </c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 t="s">
        <v>233</v>
      </c>
      <c r="AB250" s="6" t="str">
        <f>HYPERLINK(_xlfn.CONCAT("https://www.google.com/maps/search/",Tabela1[[#This Row],[GPS]]),"##")</f>
        <v>##</v>
      </c>
      <c r="AC250" s="3" t="str">
        <f>_xlfn.CONCAT("https://raw.githubusercontent.com/marcelo-pascoal/Semaforos/refs/heads/main/fotosD/",Tabela1[[#This Row],[Foto1]])</f>
        <v>https://raw.githubusercontent.com/marcelo-pascoal/Semaforos/refs/heads/main/fotosD/DSCF7670.JPG</v>
      </c>
      <c r="AD250" s="3" t="str">
        <f>_xlfn.CONCAT("https://raw.githubusercontent.com/marcelo-pascoal/Semaforos/refs/heads/main/fotos/",Tabela1[[#This Row],[id_0]],".jpg")</f>
        <v>https://raw.githubusercontent.com/marcelo-pascoal/Semaforos/refs/heads/main/fotos/476.jpg</v>
      </c>
      <c r="AE250" s="3" t="str">
        <f>_xlfn.CONCAT("https://raw.githubusercontent.com/marcelo-pascoal/Semaforos/refs/heads/main/fotosD/",Tabela1[[#This Row],[id_0]],".jpg")</f>
        <v>https://raw.githubusercontent.com/marcelo-pascoal/Semaforos/refs/heads/main/fotosD/476.jpg</v>
      </c>
      <c r="AF250" s="3">
        <v>1</v>
      </c>
    </row>
    <row r="251" spans="1:32" ht="250" customHeight="1" x14ac:dyDescent="0.35">
      <c r="A251" s="2" t="s">
        <v>876</v>
      </c>
      <c r="B251" s="5">
        <v>59</v>
      </c>
      <c r="C251" s="2" t="s">
        <v>877</v>
      </c>
      <c r="D251" s="1" t="s">
        <v>31</v>
      </c>
      <c r="E251" s="2" t="s">
        <v>1147</v>
      </c>
      <c r="F251" s="2" t="s">
        <v>881</v>
      </c>
      <c r="G251" s="1" t="s">
        <v>1144</v>
      </c>
      <c r="H251" s="1" t="s">
        <v>31</v>
      </c>
      <c r="I251" s="1" t="s">
        <v>878</v>
      </c>
      <c r="J251" s="2" t="s">
        <v>879</v>
      </c>
      <c r="K251" s="2" t="s">
        <v>880</v>
      </c>
      <c r="L251" s="3"/>
      <c r="M251" s="3">
        <v>2</v>
      </c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 t="s">
        <v>233</v>
      </c>
      <c r="AB251" s="6" t="str">
        <f>HYPERLINK(_xlfn.CONCAT("https://www.google.com/maps/search/",Tabela1[[#This Row],[GPS]]),"##")</f>
        <v>##</v>
      </c>
      <c r="AC251" s="3" t="str">
        <f>_xlfn.CONCAT("https://raw.githubusercontent.com/marcelo-pascoal/Semaforos/refs/heads/main/fotosD/",Tabela1[[#This Row],[Foto1]])</f>
        <v>https://raw.githubusercontent.com/marcelo-pascoal/Semaforos/refs/heads/main/fotosD/DSCF7708.JPG</v>
      </c>
      <c r="AD251" s="3" t="str">
        <f>_xlfn.CONCAT("https://raw.githubusercontent.com/marcelo-pascoal/Semaforos/refs/heads/main/fotos/",Tabela1[[#This Row],[id_0]],".jpg")</f>
        <v>https://raw.githubusercontent.com/marcelo-pascoal/Semaforos/refs/heads/main/fotos/59.jpg</v>
      </c>
      <c r="AE251" s="3" t="str">
        <f>_xlfn.CONCAT("https://raw.githubusercontent.com/marcelo-pascoal/Semaforos/refs/heads/main/fotosD/",Tabela1[[#This Row],[id_0]],".jpg")</f>
        <v>https://raw.githubusercontent.com/marcelo-pascoal/Semaforos/refs/heads/main/fotosD/59.jpg</v>
      </c>
      <c r="AF251" s="3">
        <v>4</v>
      </c>
    </row>
    <row r="252" spans="1:32" ht="250" customHeight="1" x14ac:dyDescent="0.35">
      <c r="A252" s="2" t="s">
        <v>876</v>
      </c>
      <c r="B252" s="5">
        <v>60</v>
      </c>
      <c r="C252" s="2" t="s">
        <v>882</v>
      </c>
      <c r="D252" s="1" t="s">
        <v>38</v>
      </c>
      <c r="E252" s="2" t="s">
        <v>1147</v>
      </c>
      <c r="F252" s="2" t="s">
        <v>884</v>
      </c>
      <c r="G252" s="1" t="s">
        <v>1144</v>
      </c>
      <c r="H252" s="1" t="s">
        <v>1146</v>
      </c>
      <c r="I252" s="1" t="s">
        <v>883</v>
      </c>
      <c r="J252" s="2" t="s">
        <v>879</v>
      </c>
      <c r="K252" s="2" t="s">
        <v>880</v>
      </c>
      <c r="L252" s="3"/>
      <c r="M252" s="3"/>
      <c r="N252" s="3"/>
      <c r="O252" s="3">
        <v>1</v>
      </c>
      <c r="P252" s="3">
        <v>1</v>
      </c>
      <c r="Q252" s="3">
        <v>1</v>
      </c>
      <c r="R252" s="3"/>
      <c r="S252" s="3"/>
      <c r="T252" s="3"/>
      <c r="U252" s="3">
        <v>1</v>
      </c>
      <c r="V252" s="3">
        <v>1</v>
      </c>
      <c r="W252" s="3" t="s">
        <v>40</v>
      </c>
      <c r="X252" s="3" t="s">
        <v>40</v>
      </c>
      <c r="Y252" s="3"/>
      <c r="Z252" s="3"/>
      <c r="AA252" s="3" t="s">
        <v>35</v>
      </c>
      <c r="AB252" s="6" t="str">
        <f>HYPERLINK(_xlfn.CONCAT("https://www.google.com/maps/search/",Tabela1[[#This Row],[GPS]]),"##")</f>
        <v>##</v>
      </c>
      <c r="AC252" s="3" t="str">
        <f>_xlfn.CONCAT("https://raw.githubusercontent.com/marcelo-pascoal/Semaforos/refs/heads/main/fotosD/",Tabela1[[#This Row],[Foto1]])</f>
        <v>https://raw.githubusercontent.com/marcelo-pascoal/Semaforos/refs/heads/main/fotosD/DSCF7704.JPG</v>
      </c>
      <c r="AD252" s="3" t="str">
        <f>_xlfn.CONCAT("https://raw.githubusercontent.com/marcelo-pascoal/Semaforos/refs/heads/main/fotos/",Tabela1[[#This Row],[id_0]],".jpg")</f>
        <v>https://raw.githubusercontent.com/marcelo-pascoal/Semaforos/refs/heads/main/fotos/60.jpg</v>
      </c>
      <c r="AE252" s="3" t="str">
        <f>_xlfn.CONCAT("https://raw.githubusercontent.com/marcelo-pascoal/Semaforos/refs/heads/main/fotosD/",Tabela1[[#This Row],[id_0]],".jpg")</f>
        <v>https://raw.githubusercontent.com/marcelo-pascoal/Semaforos/refs/heads/main/fotosD/60.jpg</v>
      </c>
      <c r="AF252" s="3">
        <v>4</v>
      </c>
    </row>
    <row r="253" spans="1:32" ht="250" customHeight="1" x14ac:dyDescent="0.35">
      <c r="A253" s="2" t="s">
        <v>876</v>
      </c>
      <c r="B253" s="5">
        <v>61</v>
      </c>
      <c r="C253" s="2" t="s">
        <v>885</v>
      </c>
      <c r="D253" s="1" t="s">
        <v>60</v>
      </c>
      <c r="E253" s="2" t="s">
        <v>1147</v>
      </c>
      <c r="F253" s="2" t="s">
        <v>888</v>
      </c>
      <c r="G253" s="1" t="s">
        <v>1145</v>
      </c>
      <c r="H253" s="1" t="s">
        <v>1146</v>
      </c>
      <c r="I253" s="1" t="s">
        <v>886</v>
      </c>
      <c r="J253" s="2" t="s">
        <v>879</v>
      </c>
      <c r="K253" s="2" t="s">
        <v>887</v>
      </c>
      <c r="L253" s="3">
        <v>2</v>
      </c>
      <c r="M253" s="3"/>
      <c r="N253" s="3"/>
      <c r="O253" s="3">
        <v>1</v>
      </c>
      <c r="P253" s="3">
        <v>3</v>
      </c>
      <c r="Q253" s="3">
        <v>3</v>
      </c>
      <c r="R253" s="3">
        <v>1</v>
      </c>
      <c r="S253" s="3">
        <v>1</v>
      </c>
      <c r="T253" s="3"/>
      <c r="U253" s="3"/>
      <c r="V253" s="3"/>
      <c r="W253" s="3" t="s">
        <v>40</v>
      </c>
      <c r="X253" s="3" t="s">
        <v>40</v>
      </c>
      <c r="Y253" s="3" t="s">
        <v>40</v>
      </c>
      <c r="Z253" s="3"/>
      <c r="AA253" s="3" t="s">
        <v>233</v>
      </c>
      <c r="AB253" s="6" t="str">
        <f>HYPERLINK(_xlfn.CONCAT("https://www.google.com/maps/search/",Tabela1[[#This Row],[GPS]]),"##")</f>
        <v>##</v>
      </c>
      <c r="AC253" s="3" t="str">
        <f>_xlfn.CONCAT("https://raw.githubusercontent.com/marcelo-pascoal/Semaforos/refs/heads/main/fotosD/",Tabela1[[#This Row],[Foto1]])</f>
        <v>https://raw.githubusercontent.com/marcelo-pascoal/Semaforos/refs/heads/main/fotosD/DSCF7700.JPG</v>
      </c>
      <c r="AD253" s="3" t="str">
        <f>_xlfn.CONCAT("https://raw.githubusercontent.com/marcelo-pascoal/Semaforos/refs/heads/main/fotos/",Tabela1[[#This Row],[id_0]],".jpg")</f>
        <v>https://raw.githubusercontent.com/marcelo-pascoal/Semaforos/refs/heads/main/fotos/61.jpg</v>
      </c>
      <c r="AE253" s="3" t="str">
        <f>_xlfn.CONCAT("https://raw.githubusercontent.com/marcelo-pascoal/Semaforos/refs/heads/main/fotosD/",Tabela1[[#This Row],[id_0]],".jpg")</f>
        <v>https://raw.githubusercontent.com/marcelo-pascoal/Semaforos/refs/heads/main/fotosD/61.jpg</v>
      </c>
      <c r="AF253" s="3">
        <v>4</v>
      </c>
    </row>
    <row r="254" spans="1:32" ht="250" customHeight="1" x14ac:dyDescent="0.35">
      <c r="A254" s="2" t="s">
        <v>876</v>
      </c>
      <c r="B254" s="5">
        <v>62</v>
      </c>
      <c r="C254" s="2" t="s">
        <v>889</v>
      </c>
      <c r="D254" s="1" t="s">
        <v>31</v>
      </c>
      <c r="E254" s="2" t="s">
        <v>1147</v>
      </c>
      <c r="F254" s="2" t="s">
        <v>891</v>
      </c>
      <c r="G254" s="1" t="s">
        <v>1144</v>
      </c>
      <c r="H254" s="1" t="s">
        <v>31</v>
      </c>
      <c r="I254" s="1" t="s">
        <v>890</v>
      </c>
      <c r="J254" s="2" t="s">
        <v>879</v>
      </c>
      <c r="K254" s="2" t="s">
        <v>880</v>
      </c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 t="s">
        <v>233</v>
      </c>
      <c r="AB254" s="6" t="str">
        <f>HYPERLINK(_xlfn.CONCAT("https://www.google.com/maps/search/",Tabela1[[#This Row],[GPS]]),"##")</f>
        <v>##</v>
      </c>
      <c r="AC254" s="3" t="str">
        <f>_xlfn.CONCAT("https://raw.githubusercontent.com/marcelo-pascoal/Semaforos/refs/heads/main/fotosD/",Tabela1[[#This Row],[Foto1]])</f>
        <v>https://raw.githubusercontent.com/marcelo-pascoal/Semaforos/refs/heads/main/fotosD/DSCF7699.JPG</v>
      </c>
      <c r="AD254" s="3" t="str">
        <f>_xlfn.CONCAT("https://raw.githubusercontent.com/marcelo-pascoal/Semaforos/refs/heads/main/fotos/",Tabela1[[#This Row],[id_0]],".jpg")</f>
        <v>https://raw.githubusercontent.com/marcelo-pascoal/Semaforos/refs/heads/main/fotos/62.jpg</v>
      </c>
      <c r="AE254" s="3" t="str">
        <f>_xlfn.CONCAT("https://raw.githubusercontent.com/marcelo-pascoal/Semaforos/refs/heads/main/fotosD/",Tabela1[[#This Row],[id_0]],".jpg")</f>
        <v>https://raw.githubusercontent.com/marcelo-pascoal/Semaforos/refs/heads/main/fotosD/62.jpg</v>
      </c>
      <c r="AF254" s="3">
        <v>4</v>
      </c>
    </row>
    <row r="255" spans="1:32" ht="250" customHeight="1" x14ac:dyDescent="0.35">
      <c r="A255" s="2" t="s">
        <v>892</v>
      </c>
      <c r="B255" s="5">
        <v>145</v>
      </c>
      <c r="C255" s="2" t="s">
        <v>893</v>
      </c>
      <c r="D255" s="1" t="s">
        <v>31</v>
      </c>
      <c r="F255" s="2" t="s">
        <v>896</v>
      </c>
      <c r="G255" s="1" t="s">
        <v>1144</v>
      </c>
      <c r="H255" s="1" t="s">
        <v>31</v>
      </c>
      <c r="I255" s="1" t="s">
        <v>894</v>
      </c>
      <c r="J255" s="2" t="s">
        <v>895</v>
      </c>
      <c r="K255" s="2" t="s">
        <v>880</v>
      </c>
      <c r="L255" s="3"/>
      <c r="M255" s="3">
        <v>0</v>
      </c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 t="s">
        <v>35</v>
      </c>
      <c r="AB255" s="6" t="str">
        <f>HYPERLINK(_xlfn.CONCAT("https://www.google.com/maps/search/",Tabela1[[#This Row],[GPS]]),"##")</f>
        <v>##</v>
      </c>
      <c r="AC255" s="3" t="str">
        <f>_xlfn.CONCAT("https://raw.githubusercontent.com/marcelo-pascoal/Semaforos/refs/heads/main/fotosD/",Tabela1[[#This Row],[Foto1]])</f>
        <v>https://raw.githubusercontent.com/marcelo-pascoal/Semaforos/refs/heads/main/fotosD/DSCF7791.JPG</v>
      </c>
      <c r="AD255" s="3" t="str">
        <f>_xlfn.CONCAT("https://raw.githubusercontent.com/marcelo-pascoal/Semaforos/refs/heads/main/fotos/",Tabela1[[#This Row],[id_0]],".jpg")</f>
        <v>https://raw.githubusercontent.com/marcelo-pascoal/Semaforos/refs/heads/main/fotos/145.jpg</v>
      </c>
      <c r="AE255" s="3" t="str">
        <f>_xlfn.CONCAT("https://raw.githubusercontent.com/marcelo-pascoal/Semaforos/refs/heads/main/fotosD/",Tabela1[[#This Row],[id_0]],".jpg")</f>
        <v>https://raw.githubusercontent.com/marcelo-pascoal/Semaforos/refs/heads/main/fotosD/145.jpg</v>
      </c>
      <c r="AF255" s="3">
        <v>2</v>
      </c>
    </row>
    <row r="256" spans="1:32" ht="250" customHeight="1" x14ac:dyDescent="0.35">
      <c r="A256" s="2" t="s">
        <v>892</v>
      </c>
      <c r="B256" s="5">
        <v>146</v>
      </c>
      <c r="C256" s="2" t="s">
        <v>897</v>
      </c>
      <c r="D256" s="1" t="s">
        <v>31</v>
      </c>
      <c r="E256" s="2" t="s">
        <v>1147</v>
      </c>
      <c r="F256" s="2" t="s">
        <v>899</v>
      </c>
      <c r="G256" s="1" t="s">
        <v>1144</v>
      </c>
      <c r="H256" s="1" t="s">
        <v>31</v>
      </c>
      <c r="I256" s="1" t="s">
        <v>898</v>
      </c>
      <c r="J256" s="2" t="s">
        <v>458</v>
      </c>
      <c r="K256" s="2" t="s">
        <v>880</v>
      </c>
      <c r="L256" s="3"/>
      <c r="M256" s="3">
        <v>1</v>
      </c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 t="s">
        <v>35</v>
      </c>
      <c r="AB256" s="6" t="str">
        <f>HYPERLINK(_xlfn.CONCAT("https://www.google.com/maps/search/",Tabela1[[#This Row],[GPS]]),"##")</f>
        <v>##</v>
      </c>
      <c r="AC256" s="3" t="str">
        <f>_xlfn.CONCAT("https://raw.githubusercontent.com/marcelo-pascoal/Semaforos/refs/heads/main/fotosD/",Tabela1[[#This Row],[Foto1]])</f>
        <v>https://raw.githubusercontent.com/marcelo-pascoal/Semaforos/refs/heads/main/fotosD/DSCF7732.JPG</v>
      </c>
      <c r="AD256" s="3" t="str">
        <f>_xlfn.CONCAT("https://raw.githubusercontent.com/marcelo-pascoal/Semaforos/refs/heads/main/fotos/",Tabela1[[#This Row],[id_0]],".jpg")</f>
        <v>https://raw.githubusercontent.com/marcelo-pascoal/Semaforos/refs/heads/main/fotos/146.jpg</v>
      </c>
      <c r="AE256" s="3" t="str">
        <f>_xlfn.CONCAT("https://raw.githubusercontent.com/marcelo-pascoal/Semaforos/refs/heads/main/fotosD/",Tabela1[[#This Row],[id_0]],".jpg")</f>
        <v>https://raw.githubusercontent.com/marcelo-pascoal/Semaforos/refs/heads/main/fotosD/146.jpg</v>
      </c>
      <c r="AF256" s="3">
        <v>5</v>
      </c>
    </row>
    <row r="257" spans="1:32" ht="250" customHeight="1" x14ac:dyDescent="0.35">
      <c r="A257" s="2" t="s">
        <v>892</v>
      </c>
      <c r="B257" s="5">
        <v>147</v>
      </c>
      <c r="C257" s="2" t="s">
        <v>900</v>
      </c>
      <c r="D257" s="1" t="s">
        <v>31</v>
      </c>
      <c r="E257" s="2" t="s">
        <v>1147</v>
      </c>
      <c r="F257" s="2" t="s">
        <v>902</v>
      </c>
      <c r="G257" s="1" t="s">
        <v>1144</v>
      </c>
      <c r="H257" s="1" t="s">
        <v>31</v>
      </c>
      <c r="I257" s="1" t="s">
        <v>901</v>
      </c>
      <c r="J257" s="2" t="s">
        <v>499</v>
      </c>
      <c r="K257" s="2" t="s">
        <v>880</v>
      </c>
      <c r="L257" s="3"/>
      <c r="M257" s="3">
        <v>2</v>
      </c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 t="s">
        <v>35</v>
      </c>
      <c r="AB257" s="6" t="str">
        <f>HYPERLINK(_xlfn.CONCAT("https://www.google.com/maps/search/",Tabela1[[#This Row],[GPS]]),"##")</f>
        <v>##</v>
      </c>
      <c r="AC257" s="3" t="str">
        <f>_xlfn.CONCAT("https://raw.githubusercontent.com/marcelo-pascoal/Semaforos/refs/heads/main/fotosD/",Tabela1[[#This Row],[Foto1]])</f>
        <v>https://raw.githubusercontent.com/marcelo-pascoal/Semaforos/refs/heads/main/fotosD/DSCF7709.JPG</v>
      </c>
      <c r="AD257" s="3" t="str">
        <f>_xlfn.CONCAT("https://raw.githubusercontent.com/marcelo-pascoal/Semaforos/refs/heads/main/fotos/",Tabela1[[#This Row],[id_0]],".jpg")</f>
        <v>https://raw.githubusercontent.com/marcelo-pascoal/Semaforos/refs/heads/main/fotos/147.jpg</v>
      </c>
      <c r="AE257" s="3" t="str">
        <f>_xlfn.CONCAT("https://raw.githubusercontent.com/marcelo-pascoal/Semaforos/refs/heads/main/fotosD/",Tabela1[[#This Row],[id_0]],".jpg")</f>
        <v>https://raw.githubusercontent.com/marcelo-pascoal/Semaforos/refs/heads/main/fotosD/147.jpg</v>
      </c>
      <c r="AF257" s="3">
        <v>2</v>
      </c>
    </row>
    <row r="258" spans="1:32" ht="250" customHeight="1" x14ac:dyDescent="0.35">
      <c r="A258" s="2" t="s">
        <v>892</v>
      </c>
      <c r="B258" s="5">
        <v>148</v>
      </c>
      <c r="C258" s="2" t="s">
        <v>903</v>
      </c>
      <c r="D258" s="1" t="s">
        <v>31</v>
      </c>
      <c r="E258" s="2" t="s">
        <v>1147</v>
      </c>
      <c r="F258" s="2" t="s">
        <v>905</v>
      </c>
      <c r="G258" s="1" t="s">
        <v>1144</v>
      </c>
      <c r="H258" s="1" t="s">
        <v>31</v>
      </c>
      <c r="I258" s="1" t="s">
        <v>904</v>
      </c>
      <c r="J258" s="2" t="s">
        <v>499</v>
      </c>
      <c r="K258" s="2" t="s">
        <v>880</v>
      </c>
      <c r="L258" s="3"/>
      <c r="M258" s="3">
        <v>2</v>
      </c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 t="s">
        <v>35</v>
      </c>
      <c r="AB258" s="6" t="str">
        <f>HYPERLINK(_xlfn.CONCAT("https://www.google.com/maps/search/",Tabela1[[#This Row],[GPS]]),"##")</f>
        <v>##</v>
      </c>
      <c r="AC258" s="3" t="str">
        <f>_xlfn.CONCAT("https://raw.githubusercontent.com/marcelo-pascoal/Semaforos/refs/heads/main/fotosD/",Tabela1[[#This Row],[Foto1]])</f>
        <v>https://raw.githubusercontent.com/marcelo-pascoal/Semaforos/refs/heads/main/fotosD/DSCF7731.JPG</v>
      </c>
      <c r="AD258" s="3" t="str">
        <f>_xlfn.CONCAT("https://raw.githubusercontent.com/marcelo-pascoal/Semaforos/refs/heads/main/fotos/",Tabela1[[#This Row],[id_0]],".jpg")</f>
        <v>https://raw.githubusercontent.com/marcelo-pascoal/Semaforos/refs/heads/main/fotos/148.jpg</v>
      </c>
      <c r="AE258" s="3" t="str">
        <f>_xlfn.CONCAT("https://raw.githubusercontent.com/marcelo-pascoal/Semaforos/refs/heads/main/fotosD/",Tabela1[[#This Row],[id_0]],".jpg")</f>
        <v>https://raw.githubusercontent.com/marcelo-pascoal/Semaforos/refs/heads/main/fotosD/148.jpg</v>
      </c>
      <c r="AF258" s="3">
        <v>2</v>
      </c>
    </row>
    <row r="259" spans="1:32" ht="250" customHeight="1" x14ac:dyDescent="0.35">
      <c r="A259" s="2" t="s">
        <v>892</v>
      </c>
      <c r="B259" s="5">
        <v>149</v>
      </c>
      <c r="C259" s="2" t="s">
        <v>906</v>
      </c>
      <c r="D259" s="1" t="s">
        <v>60</v>
      </c>
      <c r="E259" s="2" t="s">
        <v>1147</v>
      </c>
      <c r="F259" s="2" t="s">
        <v>908</v>
      </c>
      <c r="G259" s="1" t="s">
        <v>1145</v>
      </c>
      <c r="H259" s="1" t="s">
        <v>1146</v>
      </c>
      <c r="I259" s="1" t="s">
        <v>907</v>
      </c>
      <c r="J259" s="2" t="s">
        <v>499</v>
      </c>
      <c r="K259" s="2" t="s">
        <v>880</v>
      </c>
      <c r="L259" s="3">
        <v>2</v>
      </c>
      <c r="M259" s="3"/>
      <c r="N259" s="3"/>
      <c r="O259" s="3">
        <v>1</v>
      </c>
      <c r="P259" s="3">
        <v>3</v>
      </c>
      <c r="Q259" s="3">
        <v>3</v>
      </c>
      <c r="R259" s="3">
        <v>1</v>
      </c>
      <c r="S259" s="3">
        <v>1</v>
      </c>
      <c r="T259" s="3">
        <v>1</v>
      </c>
      <c r="U259" s="3"/>
      <c r="V259" s="3"/>
      <c r="W259" s="3"/>
      <c r="X259" s="3"/>
      <c r="Y259" s="3"/>
      <c r="Z259" s="3"/>
      <c r="AA259" s="3" t="s">
        <v>35</v>
      </c>
      <c r="AB259" s="6" t="str">
        <f>HYPERLINK(_xlfn.CONCAT("https://www.google.com/maps/search/",Tabela1[[#This Row],[GPS]]),"##")</f>
        <v>##</v>
      </c>
      <c r="AC259" s="3" t="str">
        <f>_xlfn.CONCAT("https://raw.githubusercontent.com/marcelo-pascoal/Semaforos/refs/heads/main/fotosD/",Tabela1[[#This Row],[Foto1]])</f>
        <v>https://raw.githubusercontent.com/marcelo-pascoal/Semaforos/refs/heads/main/fotosD/DSCF7723.JPG</v>
      </c>
      <c r="AD259" s="3" t="str">
        <f>_xlfn.CONCAT("https://raw.githubusercontent.com/marcelo-pascoal/Semaforos/refs/heads/main/fotos/",Tabela1[[#This Row],[id_0]],".jpg")</f>
        <v>https://raw.githubusercontent.com/marcelo-pascoal/Semaforos/refs/heads/main/fotos/149.jpg</v>
      </c>
      <c r="AE259" s="3" t="str">
        <f>_xlfn.CONCAT("https://raw.githubusercontent.com/marcelo-pascoal/Semaforos/refs/heads/main/fotosD/",Tabela1[[#This Row],[id_0]],".jpg")</f>
        <v>https://raw.githubusercontent.com/marcelo-pascoal/Semaforos/refs/heads/main/fotosD/149.jpg</v>
      </c>
      <c r="AF259" s="3">
        <v>2</v>
      </c>
    </row>
    <row r="260" spans="1:32" ht="250" customHeight="1" x14ac:dyDescent="0.35">
      <c r="A260" s="2" t="s">
        <v>892</v>
      </c>
      <c r="B260" s="5">
        <v>150</v>
      </c>
      <c r="C260" s="2" t="s">
        <v>909</v>
      </c>
      <c r="D260" s="1" t="s">
        <v>38</v>
      </c>
      <c r="E260" s="2" t="s">
        <v>1147</v>
      </c>
      <c r="F260" s="2" t="s">
        <v>911</v>
      </c>
      <c r="G260" s="1" t="s">
        <v>1144</v>
      </c>
      <c r="H260" s="1" t="s">
        <v>1146</v>
      </c>
      <c r="I260" s="1" t="s">
        <v>910</v>
      </c>
      <c r="J260" s="2" t="s">
        <v>499</v>
      </c>
      <c r="K260" s="2" t="s">
        <v>880</v>
      </c>
      <c r="L260" s="3"/>
      <c r="M260" s="3"/>
      <c r="N260" s="3"/>
      <c r="O260" s="3">
        <v>1</v>
      </c>
      <c r="P260" s="3">
        <v>1</v>
      </c>
      <c r="Q260" s="3">
        <v>1</v>
      </c>
      <c r="R260" s="3">
        <v>1</v>
      </c>
      <c r="S260" s="3">
        <v>1</v>
      </c>
      <c r="T260" s="3">
        <v>1</v>
      </c>
      <c r="U260" s="3"/>
      <c r="V260" s="3"/>
      <c r="W260" s="3"/>
      <c r="X260" s="3"/>
      <c r="Y260" s="3"/>
      <c r="Z260" s="3"/>
      <c r="AA260" s="3" t="s">
        <v>35</v>
      </c>
      <c r="AB260" s="6" t="str">
        <f>HYPERLINK(_xlfn.CONCAT("https://www.google.com/maps/search/",Tabela1[[#This Row],[GPS]]),"##")</f>
        <v>##</v>
      </c>
      <c r="AC260" s="3" t="str">
        <f>_xlfn.CONCAT("https://raw.githubusercontent.com/marcelo-pascoal/Semaforos/refs/heads/main/fotosD/",Tabela1[[#This Row],[Foto1]])</f>
        <v>https://raw.githubusercontent.com/marcelo-pascoal/Semaforos/refs/heads/main/fotosD/DSCF7725.JPG</v>
      </c>
      <c r="AD260" s="3" t="str">
        <f>_xlfn.CONCAT("https://raw.githubusercontent.com/marcelo-pascoal/Semaforos/refs/heads/main/fotos/",Tabela1[[#This Row],[id_0]],".jpg")</f>
        <v>https://raw.githubusercontent.com/marcelo-pascoal/Semaforos/refs/heads/main/fotos/150.jpg</v>
      </c>
      <c r="AE260" s="3" t="str">
        <f>_xlfn.CONCAT("https://raw.githubusercontent.com/marcelo-pascoal/Semaforos/refs/heads/main/fotosD/",Tabela1[[#This Row],[id_0]],".jpg")</f>
        <v>https://raw.githubusercontent.com/marcelo-pascoal/Semaforos/refs/heads/main/fotosD/150.jpg</v>
      </c>
      <c r="AF260" s="3">
        <v>2</v>
      </c>
    </row>
    <row r="261" spans="1:32" ht="250" customHeight="1" x14ac:dyDescent="0.35">
      <c r="A261" s="2" t="s">
        <v>892</v>
      </c>
      <c r="B261" s="5">
        <v>151</v>
      </c>
      <c r="C261" s="2" t="s">
        <v>912</v>
      </c>
      <c r="D261" s="1" t="s">
        <v>38</v>
      </c>
      <c r="E261" s="2" t="s">
        <v>1147</v>
      </c>
      <c r="F261" s="2" t="s">
        <v>914</v>
      </c>
      <c r="G261" s="1" t="s">
        <v>1144</v>
      </c>
      <c r="H261" s="1" t="s">
        <v>1146</v>
      </c>
      <c r="I261" s="1" t="s">
        <v>913</v>
      </c>
      <c r="J261" s="2" t="s">
        <v>895</v>
      </c>
      <c r="K261" s="2" t="s">
        <v>880</v>
      </c>
      <c r="L261" s="3"/>
      <c r="M261" s="3"/>
      <c r="N261" s="3"/>
      <c r="O261" s="3">
        <v>1</v>
      </c>
      <c r="P261" s="3">
        <v>1</v>
      </c>
      <c r="Q261" s="3">
        <v>1</v>
      </c>
      <c r="R261" s="3">
        <v>1</v>
      </c>
      <c r="S261" s="3">
        <v>1</v>
      </c>
      <c r="T261" s="3">
        <v>1</v>
      </c>
      <c r="U261" s="3"/>
      <c r="V261" s="3"/>
      <c r="W261" s="3"/>
      <c r="X261" s="3"/>
      <c r="Y261" s="3"/>
      <c r="Z261" s="3"/>
      <c r="AA261" s="3" t="s">
        <v>35</v>
      </c>
      <c r="AB261" s="6" t="str">
        <f>HYPERLINK(_xlfn.CONCAT("https://www.google.com/maps/search/",Tabela1[[#This Row],[GPS]]),"##")</f>
        <v>##</v>
      </c>
      <c r="AC261" s="3" t="str">
        <f>_xlfn.CONCAT("https://raw.githubusercontent.com/marcelo-pascoal/Semaforos/refs/heads/main/fotosD/",Tabela1[[#This Row],[Foto1]])</f>
        <v>https://raw.githubusercontent.com/marcelo-pascoal/Semaforos/refs/heads/main/fotosD/DSCF7727.JPG</v>
      </c>
      <c r="AD261" s="3" t="str">
        <f>_xlfn.CONCAT("https://raw.githubusercontent.com/marcelo-pascoal/Semaforos/refs/heads/main/fotos/",Tabela1[[#This Row],[id_0]],".jpg")</f>
        <v>https://raw.githubusercontent.com/marcelo-pascoal/Semaforos/refs/heads/main/fotos/151.jpg</v>
      </c>
      <c r="AE261" s="3" t="str">
        <f>_xlfn.CONCAT("https://raw.githubusercontent.com/marcelo-pascoal/Semaforos/refs/heads/main/fotosD/",Tabela1[[#This Row],[id_0]],".jpg")</f>
        <v>https://raw.githubusercontent.com/marcelo-pascoal/Semaforos/refs/heads/main/fotosD/151.jpg</v>
      </c>
      <c r="AF261" s="3">
        <v>2</v>
      </c>
    </row>
    <row r="262" spans="1:32" ht="250" customHeight="1" x14ac:dyDescent="0.35">
      <c r="A262" s="2" t="s">
        <v>892</v>
      </c>
      <c r="B262" s="5">
        <v>152</v>
      </c>
      <c r="C262" s="2" t="s">
        <v>915</v>
      </c>
      <c r="D262" s="1" t="s">
        <v>38</v>
      </c>
      <c r="E262" s="2" t="s">
        <v>1147</v>
      </c>
      <c r="F262" s="2" t="s">
        <v>917</v>
      </c>
      <c r="G262" s="1" t="s">
        <v>1144</v>
      </c>
      <c r="H262" s="1" t="s">
        <v>1146</v>
      </c>
      <c r="I262" s="1" t="s">
        <v>916</v>
      </c>
      <c r="J262" s="2" t="s">
        <v>895</v>
      </c>
      <c r="K262" s="2" t="s">
        <v>880</v>
      </c>
      <c r="L262" s="3"/>
      <c r="M262" s="3"/>
      <c r="N262" s="3"/>
      <c r="O262" s="3">
        <v>1</v>
      </c>
      <c r="P262" s="3">
        <v>2</v>
      </c>
      <c r="Q262" s="3">
        <v>1</v>
      </c>
      <c r="R262" s="3"/>
      <c r="S262" s="3"/>
      <c r="T262" s="3"/>
      <c r="U262" s="3"/>
      <c r="V262" s="3"/>
      <c r="W262" s="3"/>
      <c r="X262" s="3"/>
      <c r="Y262" s="3"/>
      <c r="Z262" s="3"/>
      <c r="AA262" s="3" t="s">
        <v>35</v>
      </c>
      <c r="AB262" s="6" t="str">
        <f>HYPERLINK(_xlfn.CONCAT("https://www.google.com/maps/search/",Tabela1[[#This Row],[GPS]]),"##")</f>
        <v>##</v>
      </c>
      <c r="AC262" s="3" t="str">
        <f>_xlfn.CONCAT("https://raw.githubusercontent.com/marcelo-pascoal/Semaforos/refs/heads/main/fotosD/",Tabela1[[#This Row],[Foto1]])</f>
        <v>https://raw.githubusercontent.com/marcelo-pascoal/Semaforos/refs/heads/main/fotosD/DSCF7729.JPG</v>
      </c>
      <c r="AD262" s="3" t="str">
        <f>_xlfn.CONCAT("https://raw.githubusercontent.com/marcelo-pascoal/Semaforos/refs/heads/main/fotos/",Tabela1[[#This Row],[id_0]],".jpg")</f>
        <v>https://raw.githubusercontent.com/marcelo-pascoal/Semaforos/refs/heads/main/fotos/152.jpg</v>
      </c>
      <c r="AE262" s="3" t="str">
        <f>_xlfn.CONCAT("https://raw.githubusercontent.com/marcelo-pascoal/Semaforos/refs/heads/main/fotosD/",Tabela1[[#This Row],[id_0]],".jpg")</f>
        <v>https://raw.githubusercontent.com/marcelo-pascoal/Semaforos/refs/heads/main/fotosD/152.jpg</v>
      </c>
      <c r="AF262" s="3">
        <v>2</v>
      </c>
    </row>
    <row r="263" spans="1:32" ht="250" customHeight="1" x14ac:dyDescent="0.35">
      <c r="A263" s="2" t="s">
        <v>892</v>
      </c>
      <c r="B263" s="5">
        <v>153</v>
      </c>
      <c r="C263" s="2" t="s">
        <v>918</v>
      </c>
      <c r="D263" s="1" t="s">
        <v>38</v>
      </c>
      <c r="E263" s="2" t="s">
        <v>1147</v>
      </c>
      <c r="F263" s="2" t="s">
        <v>920</v>
      </c>
      <c r="G263" s="1" t="s">
        <v>1144</v>
      </c>
      <c r="H263" s="1" t="s">
        <v>1146</v>
      </c>
      <c r="I263" s="1" t="s">
        <v>919</v>
      </c>
      <c r="J263" s="2" t="s">
        <v>895</v>
      </c>
      <c r="K263" s="2" t="s">
        <v>880</v>
      </c>
      <c r="L263" s="3"/>
      <c r="M263" s="3"/>
      <c r="N263" s="3"/>
      <c r="O263" s="3">
        <v>1</v>
      </c>
      <c r="P263" s="3">
        <v>1</v>
      </c>
      <c r="Q263" s="3">
        <v>1</v>
      </c>
      <c r="R263" s="3"/>
      <c r="S263" s="3"/>
      <c r="T263" s="3"/>
      <c r="U263" s="3"/>
      <c r="V263" s="3"/>
      <c r="W263" s="3"/>
      <c r="X263" s="3"/>
      <c r="Y263" s="3"/>
      <c r="Z263" s="3"/>
      <c r="AA263" s="3" t="s">
        <v>35</v>
      </c>
      <c r="AB263" s="6" t="str">
        <f>HYPERLINK(_xlfn.CONCAT("https://www.google.com/maps/search/",Tabela1[[#This Row],[GPS]]),"##")</f>
        <v>##</v>
      </c>
      <c r="AC263" s="3" t="str">
        <f>_xlfn.CONCAT("https://raw.githubusercontent.com/marcelo-pascoal/Semaforos/refs/heads/main/fotosD/",Tabela1[[#This Row],[Foto1]])</f>
        <v>https://raw.githubusercontent.com/marcelo-pascoal/Semaforos/refs/heads/main/fotosD/DSCF7730.JPG</v>
      </c>
      <c r="AD263" s="3" t="str">
        <f>_xlfn.CONCAT("https://raw.githubusercontent.com/marcelo-pascoal/Semaforos/refs/heads/main/fotos/",Tabela1[[#This Row],[id_0]],".jpg")</f>
        <v>https://raw.githubusercontent.com/marcelo-pascoal/Semaforos/refs/heads/main/fotos/153.jpg</v>
      </c>
      <c r="AE263" s="3" t="str">
        <f>_xlfn.CONCAT("https://raw.githubusercontent.com/marcelo-pascoal/Semaforos/refs/heads/main/fotosD/",Tabela1[[#This Row],[id_0]],".jpg")</f>
        <v>https://raw.githubusercontent.com/marcelo-pascoal/Semaforos/refs/heads/main/fotosD/153.jpg</v>
      </c>
      <c r="AF263" s="3">
        <v>2</v>
      </c>
    </row>
    <row r="264" spans="1:32" ht="250" customHeight="1" x14ac:dyDescent="0.35">
      <c r="A264" s="2" t="s">
        <v>892</v>
      </c>
      <c r="B264" s="5">
        <v>154</v>
      </c>
      <c r="C264" s="2" t="s">
        <v>921</v>
      </c>
      <c r="D264" s="1" t="s">
        <v>38</v>
      </c>
      <c r="E264" s="2" t="s">
        <v>1147</v>
      </c>
      <c r="F264" s="2" t="s">
        <v>923</v>
      </c>
      <c r="G264" s="1" t="s">
        <v>1144</v>
      </c>
      <c r="H264" s="1" t="s">
        <v>1146</v>
      </c>
      <c r="I264" s="1" t="s">
        <v>922</v>
      </c>
      <c r="J264" s="2" t="s">
        <v>499</v>
      </c>
      <c r="K264" s="2" t="s">
        <v>880</v>
      </c>
      <c r="L264" s="3"/>
      <c r="M264" s="3"/>
      <c r="N264" s="3"/>
      <c r="O264" s="3">
        <v>1</v>
      </c>
      <c r="P264" s="3">
        <v>1</v>
      </c>
      <c r="Q264" s="3">
        <v>1</v>
      </c>
      <c r="R264" s="3">
        <v>1</v>
      </c>
      <c r="S264" s="3">
        <v>1</v>
      </c>
      <c r="T264" s="3">
        <v>1</v>
      </c>
      <c r="U264" s="3"/>
      <c r="V264" s="3"/>
      <c r="W264" s="3"/>
      <c r="X264" s="3"/>
      <c r="Y264" s="3"/>
      <c r="Z264" s="3"/>
      <c r="AA264" s="3" t="s">
        <v>35</v>
      </c>
      <c r="AB264" s="6" t="str">
        <f>HYPERLINK(_xlfn.CONCAT("https://www.google.com/maps/search/",Tabela1[[#This Row],[GPS]]),"##")</f>
        <v>##</v>
      </c>
      <c r="AC264" s="3" t="str">
        <f>_xlfn.CONCAT("https://raw.githubusercontent.com/marcelo-pascoal/Semaforos/refs/heads/main/fotosD/",Tabela1[[#This Row],[Foto1]])</f>
        <v>https://raw.githubusercontent.com/marcelo-pascoal/Semaforos/refs/heads/main/fotosD/DSCF7713.JPG</v>
      </c>
      <c r="AD264" s="3" t="str">
        <f>_xlfn.CONCAT("https://raw.githubusercontent.com/marcelo-pascoal/Semaforos/refs/heads/main/fotos/",Tabela1[[#This Row],[id_0]],".jpg")</f>
        <v>https://raw.githubusercontent.com/marcelo-pascoal/Semaforos/refs/heads/main/fotos/154.jpg</v>
      </c>
      <c r="AE264" s="3" t="str">
        <f>_xlfn.CONCAT("https://raw.githubusercontent.com/marcelo-pascoal/Semaforos/refs/heads/main/fotosD/",Tabela1[[#This Row],[id_0]],".jpg")</f>
        <v>https://raw.githubusercontent.com/marcelo-pascoal/Semaforos/refs/heads/main/fotosD/154.jpg</v>
      </c>
      <c r="AF264" s="3">
        <v>2</v>
      </c>
    </row>
    <row r="265" spans="1:32" ht="250" customHeight="1" x14ac:dyDescent="0.35">
      <c r="A265" s="2" t="s">
        <v>892</v>
      </c>
      <c r="B265" s="5">
        <v>155</v>
      </c>
      <c r="C265" s="2" t="s">
        <v>924</v>
      </c>
      <c r="D265" s="1" t="s">
        <v>38</v>
      </c>
      <c r="E265" s="2" t="s">
        <v>1147</v>
      </c>
      <c r="F265" s="2" t="s">
        <v>926</v>
      </c>
      <c r="G265" s="1" t="s">
        <v>1144</v>
      </c>
      <c r="H265" s="1" t="s">
        <v>1146</v>
      </c>
      <c r="I265" s="1" t="s">
        <v>925</v>
      </c>
      <c r="J265" s="2" t="s">
        <v>499</v>
      </c>
      <c r="K265" s="2" t="s">
        <v>880</v>
      </c>
      <c r="L265" s="3"/>
      <c r="M265" s="3"/>
      <c r="N265" s="3"/>
      <c r="O265" s="3">
        <v>1</v>
      </c>
      <c r="P265" s="3">
        <v>1</v>
      </c>
      <c r="Q265" s="3">
        <v>1</v>
      </c>
      <c r="R265" s="3">
        <v>1</v>
      </c>
      <c r="S265" s="3">
        <v>1</v>
      </c>
      <c r="T265" s="3">
        <v>1</v>
      </c>
      <c r="U265" s="3"/>
      <c r="V265" s="3"/>
      <c r="W265" s="3"/>
      <c r="X265" s="3"/>
      <c r="Y265" s="3"/>
      <c r="Z265" s="3"/>
      <c r="AA265" s="3" t="s">
        <v>35</v>
      </c>
      <c r="AB265" s="6" t="str">
        <f>HYPERLINK(_xlfn.CONCAT("https://www.google.com/maps/search/",Tabela1[[#This Row],[GPS]]),"##")</f>
        <v>##</v>
      </c>
      <c r="AC265" s="3" t="str">
        <f>_xlfn.CONCAT("https://raw.githubusercontent.com/marcelo-pascoal/Semaforos/refs/heads/main/fotosD/",Tabela1[[#This Row],[Foto1]])</f>
        <v>https://raw.githubusercontent.com/marcelo-pascoal/Semaforos/refs/heads/main/fotosD/DSCF7714.JPG</v>
      </c>
      <c r="AD265" s="3" t="str">
        <f>_xlfn.CONCAT("https://raw.githubusercontent.com/marcelo-pascoal/Semaforos/refs/heads/main/fotos/",Tabela1[[#This Row],[id_0]],".jpg")</f>
        <v>https://raw.githubusercontent.com/marcelo-pascoal/Semaforos/refs/heads/main/fotos/155.jpg</v>
      </c>
      <c r="AE265" s="3" t="str">
        <f>_xlfn.CONCAT("https://raw.githubusercontent.com/marcelo-pascoal/Semaforos/refs/heads/main/fotosD/",Tabela1[[#This Row],[id_0]],".jpg")</f>
        <v>https://raw.githubusercontent.com/marcelo-pascoal/Semaforos/refs/heads/main/fotosD/155.jpg</v>
      </c>
      <c r="AF265" s="3">
        <v>2</v>
      </c>
    </row>
    <row r="266" spans="1:32" ht="250" customHeight="1" x14ac:dyDescent="0.35">
      <c r="A266" s="2" t="s">
        <v>892</v>
      </c>
      <c r="B266" s="5">
        <v>156</v>
      </c>
      <c r="C266" s="2" t="s">
        <v>927</v>
      </c>
      <c r="D266" s="1" t="s">
        <v>60</v>
      </c>
      <c r="E266" s="2" t="s">
        <v>1147</v>
      </c>
      <c r="F266" s="2" t="s">
        <v>929</v>
      </c>
      <c r="G266" s="1" t="s">
        <v>1145</v>
      </c>
      <c r="H266" s="1" t="s">
        <v>1146</v>
      </c>
      <c r="I266" s="1" t="s">
        <v>928</v>
      </c>
      <c r="J266" s="2" t="s">
        <v>499</v>
      </c>
      <c r="K266" s="2" t="s">
        <v>880</v>
      </c>
      <c r="L266" s="3">
        <v>2</v>
      </c>
      <c r="M266" s="3"/>
      <c r="N266" s="3"/>
      <c r="O266" s="3">
        <v>1</v>
      </c>
      <c r="P266" s="3">
        <v>3</v>
      </c>
      <c r="Q266" s="3">
        <v>3</v>
      </c>
      <c r="R266" s="3">
        <v>1</v>
      </c>
      <c r="S266" s="3">
        <v>1</v>
      </c>
      <c r="T266" s="3">
        <v>1</v>
      </c>
      <c r="U266" s="3"/>
      <c r="V266" s="3"/>
      <c r="W266" s="3"/>
      <c r="X266" s="3"/>
      <c r="Y266" s="3"/>
      <c r="Z266" s="3"/>
      <c r="AA266" s="3" t="s">
        <v>35</v>
      </c>
      <c r="AB266" s="6" t="str">
        <f>HYPERLINK(_xlfn.CONCAT("https://www.google.com/maps/search/",Tabela1[[#This Row],[GPS]]),"##")</f>
        <v>##</v>
      </c>
      <c r="AC266" s="3" t="str">
        <f>_xlfn.CONCAT("https://raw.githubusercontent.com/marcelo-pascoal/Semaforos/refs/heads/main/fotosD/",Tabela1[[#This Row],[Foto1]])</f>
        <v>https://raw.githubusercontent.com/marcelo-pascoal/Semaforos/refs/heads/main/fotosD/DSCF7710.JPG</v>
      </c>
      <c r="AD266" s="3" t="str">
        <f>_xlfn.CONCAT("https://raw.githubusercontent.com/marcelo-pascoal/Semaforos/refs/heads/main/fotos/",Tabela1[[#This Row],[id_0]],".jpg")</f>
        <v>https://raw.githubusercontent.com/marcelo-pascoal/Semaforos/refs/heads/main/fotos/156.jpg</v>
      </c>
      <c r="AE266" s="3" t="str">
        <f>_xlfn.CONCAT("https://raw.githubusercontent.com/marcelo-pascoal/Semaforos/refs/heads/main/fotosD/",Tabela1[[#This Row],[id_0]],".jpg")</f>
        <v>https://raw.githubusercontent.com/marcelo-pascoal/Semaforos/refs/heads/main/fotosD/156.jpg</v>
      </c>
      <c r="AF266" s="3">
        <v>2</v>
      </c>
    </row>
    <row r="267" spans="1:32" ht="250" customHeight="1" x14ac:dyDescent="0.35">
      <c r="A267" s="2" t="s">
        <v>892</v>
      </c>
      <c r="B267" s="5">
        <v>157</v>
      </c>
      <c r="C267" s="2" t="s">
        <v>930</v>
      </c>
      <c r="D267" s="1" t="s">
        <v>38</v>
      </c>
      <c r="E267" s="2" t="s">
        <v>1147</v>
      </c>
      <c r="F267" s="2" t="s">
        <v>932</v>
      </c>
      <c r="G267" s="1" t="s">
        <v>1144</v>
      </c>
      <c r="H267" s="1" t="s">
        <v>1146</v>
      </c>
      <c r="I267" s="1" t="s">
        <v>931</v>
      </c>
      <c r="J267" s="2" t="s">
        <v>458</v>
      </c>
      <c r="K267" s="2" t="s">
        <v>880</v>
      </c>
      <c r="L267" s="3"/>
      <c r="M267" s="3"/>
      <c r="N267" s="3"/>
      <c r="O267" s="3">
        <v>1</v>
      </c>
      <c r="P267" s="3">
        <v>2</v>
      </c>
      <c r="Q267" s="3">
        <v>1</v>
      </c>
      <c r="R267" s="3"/>
      <c r="S267" s="3"/>
      <c r="T267" s="3"/>
      <c r="U267" s="3"/>
      <c r="V267" s="3"/>
      <c r="W267" s="3"/>
      <c r="X267" s="3"/>
      <c r="Y267" s="3"/>
      <c r="Z267" s="3"/>
      <c r="AA267" s="3" t="s">
        <v>35</v>
      </c>
      <c r="AB267" s="6" t="str">
        <f>HYPERLINK(_xlfn.CONCAT("https://www.google.com/maps/search/",Tabela1[[#This Row],[GPS]]),"##")</f>
        <v>##</v>
      </c>
      <c r="AC267" s="3" t="str">
        <f>_xlfn.CONCAT("https://raw.githubusercontent.com/marcelo-pascoal/Semaforos/refs/heads/main/fotosD/",Tabela1[[#This Row],[Foto1]])</f>
        <v>https://raw.githubusercontent.com/marcelo-pascoal/Semaforos/refs/heads/main/fotosD/DSCF7716.JPG</v>
      </c>
      <c r="AD267" s="3" t="str">
        <f>_xlfn.CONCAT("https://raw.githubusercontent.com/marcelo-pascoal/Semaforos/refs/heads/main/fotos/",Tabela1[[#This Row],[id_0]],".jpg")</f>
        <v>https://raw.githubusercontent.com/marcelo-pascoal/Semaforos/refs/heads/main/fotos/157.jpg</v>
      </c>
      <c r="AE267" s="3" t="str">
        <f>_xlfn.CONCAT("https://raw.githubusercontent.com/marcelo-pascoal/Semaforos/refs/heads/main/fotosD/",Tabela1[[#This Row],[id_0]],".jpg")</f>
        <v>https://raw.githubusercontent.com/marcelo-pascoal/Semaforos/refs/heads/main/fotosD/157.jpg</v>
      </c>
      <c r="AF267" s="3">
        <v>5</v>
      </c>
    </row>
    <row r="268" spans="1:32" ht="250" customHeight="1" x14ac:dyDescent="0.35">
      <c r="A268" s="2" t="s">
        <v>892</v>
      </c>
      <c r="B268" s="5">
        <v>158</v>
      </c>
      <c r="C268" s="2" t="s">
        <v>933</v>
      </c>
      <c r="D268" s="1" t="s">
        <v>38</v>
      </c>
      <c r="E268" s="2" t="s">
        <v>1147</v>
      </c>
      <c r="F268" s="2" t="s">
        <v>935</v>
      </c>
      <c r="G268" s="1" t="s">
        <v>1144</v>
      </c>
      <c r="H268" s="1" t="s">
        <v>1146</v>
      </c>
      <c r="I268" s="1" t="s">
        <v>934</v>
      </c>
      <c r="J268" s="2" t="s">
        <v>458</v>
      </c>
      <c r="K268" s="2" t="s">
        <v>880</v>
      </c>
      <c r="L268" s="3"/>
      <c r="M268" s="3"/>
      <c r="N268" s="3"/>
      <c r="O268" s="3">
        <v>1</v>
      </c>
      <c r="P268" s="3">
        <v>1</v>
      </c>
      <c r="Q268" s="3">
        <v>1</v>
      </c>
      <c r="R268" s="3"/>
      <c r="S268" s="3"/>
      <c r="T268" s="3"/>
      <c r="U268" s="3"/>
      <c r="V268" s="3"/>
      <c r="W268" s="3"/>
      <c r="X268" s="3"/>
      <c r="Y268" s="3"/>
      <c r="Z268" s="3"/>
      <c r="AA268" s="3" t="s">
        <v>35</v>
      </c>
      <c r="AB268" s="6" t="str">
        <f>HYPERLINK(_xlfn.CONCAT("https://www.google.com/maps/search/",Tabela1[[#This Row],[GPS]]),"##")</f>
        <v>##</v>
      </c>
      <c r="AC268" s="3" t="str">
        <f>_xlfn.CONCAT("https://raw.githubusercontent.com/marcelo-pascoal/Semaforos/refs/heads/main/fotosD/",Tabela1[[#This Row],[Foto1]])</f>
        <v>https://raw.githubusercontent.com/marcelo-pascoal/Semaforos/refs/heads/main/fotosD/DSCF7717.JPG</v>
      </c>
      <c r="AD268" s="3" t="str">
        <f>_xlfn.CONCAT("https://raw.githubusercontent.com/marcelo-pascoal/Semaforos/refs/heads/main/fotos/",Tabela1[[#This Row],[id_0]],".jpg")</f>
        <v>https://raw.githubusercontent.com/marcelo-pascoal/Semaforos/refs/heads/main/fotos/158.jpg</v>
      </c>
      <c r="AE268" s="3" t="str">
        <f>_xlfn.CONCAT("https://raw.githubusercontent.com/marcelo-pascoal/Semaforos/refs/heads/main/fotosD/",Tabela1[[#This Row],[id_0]],".jpg")</f>
        <v>https://raw.githubusercontent.com/marcelo-pascoal/Semaforos/refs/heads/main/fotosD/158.jpg</v>
      </c>
      <c r="AF268" s="3">
        <v>5</v>
      </c>
    </row>
    <row r="269" spans="1:32" ht="250" customHeight="1" x14ac:dyDescent="0.35">
      <c r="A269" s="2" t="s">
        <v>936</v>
      </c>
      <c r="B269" s="5">
        <v>141</v>
      </c>
      <c r="C269" s="2" t="s">
        <v>937</v>
      </c>
      <c r="D269" s="1" t="s">
        <v>60</v>
      </c>
      <c r="E269" s="2" t="s">
        <v>1147</v>
      </c>
      <c r="F269" s="2" t="s">
        <v>939</v>
      </c>
      <c r="G269" s="1" t="s">
        <v>1145</v>
      </c>
      <c r="H269" s="1" t="s">
        <v>1146</v>
      </c>
      <c r="I269" s="1" t="s">
        <v>938</v>
      </c>
      <c r="J269" s="2" t="s">
        <v>563</v>
      </c>
      <c r="K269" s="2" t="s">
        <v>880</v>
      </c>
      <c r="L269" s="3">
        <v>1</v>
      </c>
      <c r="M269" s="3"/>
      <c r="N269" s="3"/>
      <c r="O269" s="3">
        <v>1</v>
      </c>
      <c r="P269" s="3">
        <v>3</v>
      </c>
      <c r="Q269" s="3">
        <v>2</v>
      </c>
      <c r="R269" s="3"/>
      <c r="S269" s="3"/>
      <c r="T269" s="3"/>
      <c r="U269" s="3">
        <v>1</v>
      </c>
      <c r="V269" s="3">
        <v>1</v>
      </c>
      <c r="W269" s="3" t="s">
        <v>40</v>
      </c>
      <c r="X269" s="3"/>
      <c r="Y269" s="3"/>
      <c r="Z269" s="3"/>
      <c r="AA269" s="3" t="s">
        <v>35</v>
      </c>
      <c r="AB269" s="6" t="str">
        <f>HYPERLINK(_xlfn.CONCAT("https://www.google.com/maps/search/",Tabela1[[#This Row],[GPS]]),"##")</f>
        <v>##</v>
      </c>
      <c r="AC269" s="3" t="str">
        <f>_xlfn.CONCAT("https://raw.githubusercontent.com/marcelo-pascoal/Semaforos/refs/heads/main/fotosD/",Tabela1[[#This Row],[Foto1]])</f>
        <v>https://raw.githubusercontent.com/marcelo-pascoal/Semaforos/refs/heads/main/fotosD/DSCF7753.JPG</v>
      </c>
      <c r="AD269" s="3" t="str">
        <f>_xlfn.CONCAT("https://raw.githubusercontent.com/marcelo-pascoal/Semaforos/refs/heads/main/fotos/",Tabela1[[#This Row],[id_0]],".jpg")</f>
        <v>https://raw.githubusercontent.com/marcelo-pascoal/Semaforos/refs/heads/main/fotos/141.jpg</v>
      </c>
      <c r="AE269" s="3" t="str">
        <f>_xlfn.CONCAT("https://raw.githubusercontent.com/marcelo-pascoal/Semaforos/refs/heads/main/fotosD/",Tabela1[[#This Row],[id_0]],".jpg")</f>
        <v>https://raw.githubusercontent.com/marcelo-pascoal/Semaforos/refs/heads/main/fotosD/141.jpg</v>
      </c>
      <c r="AF269" s="3">
        <v>5</v>
      </c>
    </row>
    <row r="270" spans="1:32" ht="250" customHeight="1" x14ac:dyDescent="0.35">
      <c r="A270" s="2" t="s">
        <v>936</v>
      </c>
      <c r="B270" s="5">
        <v>142</v>
      </c>
      <c r="C270" s="2" t="s">
        <v>940</v>
      </c>
      <c r="D270" s="1" t="s">
        <v>60</v>
      </c>
      <c r="F270" s="2" t="s">
        <v>942</v>
      </c>
      <c r="G270" s="1" t="s">
        <v>1145</v>
      </c>
      <c r="H270" s="1" t="s">
        <v>1146</v>
      </c>
      <c r="I270" s="1" t="s">
        <v>941</v>
      </c>
      <c r="J270" s="2" t="s">
        <v>563</v>
      </c>
      <c r="K270" s="2" t="s">
        <v>880</v>
      </c>
      <c r="L270" s="3">
        <v>1</v>
      </c>
      <c r="M270" s="3"/>
      <c r="N270" s="3"/>
      <c r="O270" s="3">
        <v>1</v>
      </c>
      <c r="P270" s="3">
        <v>3</v>
      </c>
      <c r="Q270" s="3">
        <v>2</v>
      </c>
      <c r="R270" s="3"/>
      <c r="S270" s="3"/>
      <c r="T270" s="3"/>
      <c r="U270" s="3">
        <v>1</v>
      </c>
      <c r="V270" s="3">
        <v>1</v>
      </c>
      <c r="W270" s="3" t="s">
        <v>40</v>
      </c>
      <c r="X270" s="3"/>
      <c r="Y270" s="3"/>
      <c r="Z270" s="3"/>
      <c r="AA270" s="3" t="s">
        <v>35</v>
      </c>
      <c r="AB270" s="6" t="str">
        <f>HYPERLINK(_xlfn.CONCAT("https://www.google.com/maps/search/",Tabela1[[#This Row],[GPS]]),"##")</f>
        <v>##</v>
      </c>
      <c r="AC270" s="3" t="str">
        <f>_xlfn.CONCAT("https://raw.githubusercontent.com/marcelo-pascoal/Semaforos/refs/heads/main/fotosD/",Tabela1[[#This Row],[Foto1]])</f>
        <v>https://raw.githubusercontent.com/marcelo-pascoal/Semaforos/refs/heads/main/fotosD/DSCF7742.JPG</v>
      </c>
      <c r="AD270" s="3" t="str">
        <f>_xlfn.CONCAT("https://raw.githubusercontent.com/marcelo-pascoal/Semaforos/refs/heads/main/fotos/",Tabela1[[#This Row],[id_0]],".jpg")</f>
        <v>https://raw.githubusercontent.com/marcelo-pascoal/Semaforos/refs/heads/main/fotos/142.jpg</v>
      </c>
      <c r="AE270" s="3" t="str">
        <f>_xlfn.CONCAT("https://raw.githubusercontent.com/marcelo-pascoal/Semaforos/refs/heads/main/fotosD/",Tabela1[[#This Row],[id_0]],".jpg")</f>
        <v>https://raw.githubusercontent.com/marcelo-pascoal/Semaforos/refs/heads/main/fotosD/142.jpg</v>
      </c>
      <c r="AF270" s="3">
        <v>5</v>
      </c>
    </row>
    <row r="271" spans="1:32" ht="250" customHeight="1" x14ac:dyDescent="0.35">
      <c r="A271" s="2" t="s">
        <v>936</v>
      </c>
      <c r="B271" s="5">
        <v>143</v>
      </c>
      <c r="C271" s="2" t="s">
        <v>943</v>
      </c>
      <c r="D271" s="1" t="s">
        <v>60</v>
      </c>
      <c r="E271" s="2" t="s">
        <v>1147</v>
      </c>
      <c r="F271" s="2" t="s">
        <v>945</v>
      </c>
      <c r="G271" s="1" t="s">
        <v>1145</v>
      </c>
      <c r="H271" s="1" t="s">
        <v>1146</v>
      </c>
      <c r="I271" s="1" t="s">
        <v>944</v>
      </c>
      <c r="J271" s="2" t="s">
        <v>458</v>
      </c>
      <c r="K271" s="2" t="s">
        <v>880</v>
      </c>
      <c r="L271" s="3">
        <v>1</v>
      </c>
      <c r="M271" s="3"/>
      <c r="N271" s="3"/>
      <c r="O271" s="3">
        <v>1</v>
      </c>
      <c r="P271" s="3">
        <v>3</v>
      </c>
      <c r="Q271" s="3">
        <v>2</v>
      </c>
      <c r="R271" s="3"/>
      <c r="S271" s="3"/>
      <c r="T271" s="3"/>
      <c r="U271" s="3">
        <v>1</v>
      </c>
      <c r="V271" s="3">
        <v>1</v>
      </c>
      <c r="W271" s="3" t="s">
        <v>40</v>
      </c>
      <c r="X271" s="3" t="s">
        <v>40</v>
      </c>
      <c r="Y271" s="3"/>
      <c r="Z271" s="3"/>
      <c r="AA271" s="3" t="s">
        <v>35</v>
      </c>
      <c r="AB271" s="6" t="str">
        <f>HYPERLINK(_xlfn.CONCAT("https://www.google.com/maps/search/",Tabela1[[#This Row],[GPS]]),"##")</f>
        <v>##</v>
      </c>
      <c r="AC271" s="3" t="str">
        <f>_xlfn.CONCAT("https://raw.githubusercontent.com/marcelo-pascoal/Semaforos/refs/heads/main/fotosD/",Tabela1[[#This Row],[Foto1]])</f>
        <v>https://raw.githubusercontent.com/marcelo-pascoal/Semaforos/refs/heads/main/fotosD/DSCF7747.JPG</v>
      </c>
      <c r="AD271" s="3" t="str">
        <f>_xlfn.CONCAT("https://raw.githubusercontent.com/marcelo-pascoal/Semaforos/refs/heads/main/fotos/",Tabela1[[#This Row],[id_0]],".jpg")</f>
        <v>https://raw.githubusercontent.com/marcelo-pascoal/Semaforos/refs/heads/main/fotos/143.jpg</v>
      </c>
      <c r="AE271" s="3" t="str">
        <f>_xlfn.CONCAT("https://raw.githubusercontent.com/marcelo-pascoal/Semaforos/refs/heads/main/fotosD/",Tabela1[[#This Row],[id_0]],".jpg")</f>
        <v>https://raw.githubusercontent.com/marcelo-pascoal/Semaforos/refs/heads/main/fotosD/143.jpg</v>
      </c>
      <c r="AF271" s="3">
        <v>2</v>
      </c>
    </row>
    <row r="272" spans="1:32" ht="250" customHeight="1" x14ac:dyDescent="0.35">
      <c r="A272" s="2" t="s">
        <v>936</v>
      </c>
      <c r="B272" s="5">
        <v>144</v>
      </c>
      <c r="C272" s="2" t="s">
        <v>946</v>
      </c>
      <c r="D272" s="1" t="s">
        <v>60</v>
      </c>
      <c r="E272" s="2" t="s">
        <v>1147</v>
      </c>
      <c r="F272" s="2" t="s">
        <v>948</v>
      </c>
      <c r="G272" s="1" t="s">
        <v>1145</v>
      </c>
      <c r="H272" s="1" t="s">
        <v>1146</v>
      </c>
      <c r="I272" s="1" t="s">
        <v>947</v>
      </c>
      <c r="J272" s="2" t="s">
        <v>458</v>
      </c>
      <c r="K272" s="2" t="s">
        <v>880</v>
      </c>
      <c r="L272" s="3">
        <v>1</v>
      </c>
      <c r="M272" s="3"/>
      <c r="N272" s="3"/>
      <c r="O272" s="3">
        <v>1</v>
      </c>
      <c r="P272" s="3">
        <v>3</v>
      </c>
      <c r="Q272" s="3">
        <v>2</v>
      </c>
      <c r="R272" s="3"/>
      <c r="S272" s="3"/>
      <c r="T272" s="3"/>
      <c r="U272" s="3">
        <v>1</v>
      </c>
      <c r="V272" s="3">
        <v>1</v>
      </c>
      <c r="W272" s="3" t="s">
        <v>40</v>
      </c>
      <c r="X272" s="3" t="s">
        <v>40</v>
      </c>
      <c r="Y272" s="3"/>
      <c r="Z272" s="3"/>
      <c r="AA272" s="3" t="s">
        <v>35</v>
      </c>
      <c r="AB272" s="6" t="str">
        <f>HYPERLINK(_xlfn.CONCAT("https://www.google.com/maps/search/",Tabela1[[#This Row],[GPS]]),"##")</f>
        <v>##</v>
      </c>
      <c r="AC272" s="3" t="str">
        <f>_xlfn.CONCAT("https://raw.githubusercontent.com/marcelo-pascoal/Semaforos/refs/heads/main/fotosD/",Tabela1[[#This Row],[Foto1]])</f>
        <v>https://raw.githubusercontent.com/marcelo-pascoal/Semaforos/refs/heads/main/fotosD/DSCF7735.JPG</v>
      </c>
      <c r="AD272" s="3" t="str">
        <f>_xlfn.CONCAT("https://raw.githubusercontent.com/marcelo-pascoal/Semaforos/refs/heads/main/fotos/",Tabela1[[#This Row],[id_0]],".jpg")</f>
        <v>https://raw.githubusercontent.com/marcelo-pascoal/Semaforos/refs/heads/main/fotos/144.jpg</v>
      </c>
      <c r="AE272" s="3" t="str">
        <f>_xlfn.CONCAT("https://raw.githubusercontent.com/marcelo-pascoal/Semaforos/refs/heads/main/fotosD/",Tabela1[[#This Row],[id_0]],".jpg")</f>
        <v>https://raw.githubusercontent.com/marcelo-pascoal/Semaforos/refs/heads/main/fotosD/144.jpg</v>
      </c>
      <c r="AF272" s="3">
        <v>2</v>
      </c>
    </row>
    <row r="273" spans="1:32" ht="250" customHeight="1" x14ac:dyDescent="0.35">
      <c r="A273" s="2" t="s">
        <v>936</v>
      </c>
      <c r="B273" s="5">
        <v>477</v>
      </c>
      <c r="C273" s="2" t="s">
        <v>949</v>
      </c>
      <c r="D273" s="1" t="s">
        <v>38</v>
      </c>
      <c r="F273" s="2" t="s">
        <v>951</v>
      </c>
      <c r="G273" s="1" t="s">
        <v>1144</v>
      </c>
      <c r="H273" s="1" t="s">
        <v>1146</v>
      </c>
      <c r="I273" s="1" t="s">
        <v>950</v>
      </c>
      <c r="K273" s="2" t="s">
        <v>880</v>
      </c>
      <c r="L273" s="3"/>
      <c r="M273" s="3"/>
      <c r="N273" s="3"/>
      <c r="O273" s="3"/>
      <c r="P273" s="3">
        <v>1</v>
      </c>
      <c r="Q273" s="3"/>
      <c r="R273" s="3"/>
      <c r="S273" s="3"/>
      <c r="T273" s="3"/>
      <c r="U273" s="3">
        <v>1</v>
      </c>
      <c r="V273" s="3">
        <v>1</v>
      </c>
      <c r="W273" s="3" t="s">
        <v>40</v>
      </c>
      <c r="X273" s="3" t="s">
        <v>40</v>
      </c>
      <c r="Y273" s="3"/>
      <c r="Z273" s="3"/>
      <c r="AA273" s="3" t="s">
        <v>35</v>
      </c>
      <c r="AB273" s="6" t="str">
        <f>HYPERLINK(_xlfn.CONCAT("https://www.google.com/maps/search/",Tabela1[[#This Row],[GPS]]),"##")</f>
        <v>##</v>
      </c>
      <c r="AC273" s="3" t="str">
        <f>_xlfn.CONCAT("https://raw.githubusercontent.com/marcelo-pascoal/Semaforos/refs/heads/main/fotosD/",Tabela1[[#This Row],[Foto1]])</f>
        <v>https://raw.githubusercontent.com/marcelo-pascoal/Semaforos/refs/heads/main/fotosD/DSCF7740.JPG</v>
      </c>
      <c r="AD273" s="3" t="str">
        <f>_xlfn.CONCAT("https://raw.githubusercontent.com/marcelo-pascoal/Semaforos/refs/heads/main/fotos/",Tabela1[[#This Row],[id_0]],".jpg")</f>
        <v>https://raw.githubusercontent.com/marcelo-pascoal/Semaforos/refs/heads/main/fotos/477.jpg</v>
      </c>
      <c r="AE273" s="3" t="str">
        <f>_xlfn.CONCAT("https://raw.githubusercontent.com/marcelo-pascoal/Semaforos/refs/heads/main/fotosD/",Tabela1[[#This Row],[id_0]],".jpg")</f>
        <v>https://raw.githubusercontent.com/marcelo-pascoal/Semaforos/refs/heads/main/fotosD/477.jpg</v>
      </c>
      <c r="AF273" s="3">
        <v>2</v>
      </c>
    </row>
    <row r="274" spans="1:32" ht="250" customHeight="1" x14ac:dyDescent="0.35">
      <c r="A274" s="2" t="s">
        <v>936</v>
      </c>
      <c r="B274" s="5">
        <v>478</v>
      </c>
      <c r="C274" s="2" t="s">
        <v>952</v>
      </c>
      <c r="D274" s="1" t="s">
        <v>38</v>
      </c>
      <c r="E274" s="2" t="s">
        <v>1147</v>
      </c>
      <c r="F274" s="2" t="s">
        <v>954</v>
      </c>
      <c r="G274" s="1" t="s">
        <v>1144</v>
      </c>
      <c r="H274" s="1" t="s">
        <v>1146</v>
      </c>
      <c r="I274" s="1" t="s">
        <v>953</v>
      </c>
      <c r="J274" s="2" t="s">
        <v>563</v>
      </c>
      <c r="K274" s="2" t="s">
        <v>880</v>
      </c>
      <c r="L274" s="3"/>
      <c r="M274" s="3"/>
      <c r="N274" s="3"/>
      <c r="O274" s="3"/>
      <c r="P274" s="3">
        <v>2</v>
      </c>
      <c r="Q274" s="3"/>
      <c r="R274" s="3"/>
      <c r="S274" s="3"/>
      <c r="T274" s="3"/>
      <c r="U274" s="3">
        <v>1</v>
      </c>
      <c r="V274" s="3">
        <v>1</v>
      </c>
      <c r="W274" s="3" t="s">
        <v>40</v>
      </c>
      <c r="X274" s="3"/>
      <c r="Y274" s="3"/>
      <c r="Z274" s="3"/>
      <c r="AA274" s="3" t="s">
        <v>35</v>
      </c>
      <c r="AB274" s="6" t="str">
        <f>HYPERLINK(_xlfn.CONCAT("https://www.google.com/maps/search/",Tabela1[[#This Row],[GPS]]),"##")</f>
        <v>##</v>
      </c>
      <c r="AC274" s="3" t="str">
        <f>_xlfn.CONCAT("https://raw.githubusercontent.com/marcelo-pascoal/Semaforos/refs/heads/main/fotosD/",Tabela1[[#This Row],[Foto1]])</f>
        <v>https://raw.githubusercontent.com/marcelo-pascoal/Semaforos/refs/heads/main/fotosD/DSCF7746.JPG</v>
      </c>
      <c r="AD274" s="3" t="str">
        <f>_xlfn.CONCAT("https://raw.githubusercontent.com/marcelo-pascoal/Semaforos/refs/heads/main/fotos/",Tabela1[[#This Row],[id_0]],".jpg")</f>
        <v>https://raw.githubusercontent.com/marcelo-pascoal/Semaforos/refs/heads/main/fotos/478.jpg</v>
      </c>
      <c r="AE274" s="3" t="str">
        <f>_xlfn.CONCAT("https://raw.githubusercontent.com/marcelo-pascoal/Semaforos/refs/heads/main/fotosD/",Tabela1[[#This Row],[id_0]],".jpg")</f>
        <v>https://raw.githubusercontent.com/marcelo-pascoal/Semaforos/refs/heads/main/fotosD/478.jpg</v>
      </c>
      <c r="AF274" s="3">
        <v>2</v>
      </c>
    </row>
    <row r="275" spans="1:32" ht="250" customHeight="1" x14ac:dyDescent="0.35">
      <c r="A275" s="2" t="s">
        <v>936</v>
      </c>
      <c r="B275" s="5">
        <v>479</v>
      </c>
      <c r="C275" s="2" t="s">
        <v>955</v>
      </c>
      <c r="D275" s="1" t="s">
        <v>38</v>
      </c>
      <c r="E275" s="2" t="s">
        <v>1147</v>
      </c>
      <c r="F275" s="2" t="s">
        <v>957</v>
      </c>
      <c r="G275" s="1" t="s">
        <v>1144</v>
      </c>
      <c r="H275" s="1" t="s">
        <v>1146</v>
      </c>
      <c r="I275" s="1" t="s">
        <v>956</v>
      </c>
      <c r="J275" s="2" t="s">
        <v>458</v>
      </c>
      <c r="K275" s="2" t="s">
        <v>880</v>
      </c>
      <c r="L275" s="3"/>
      <c r="M275" s="3"/>
      <c r="N275" s="3"/>
      <c r="O275" s="3"/>
      <c r="P275" s="3">
        <v>2</v>
      </c>
      <c r="Q275" s="3"/>
      <c r="R275" s="3"/>
      <c r="S275" s="3"/>
      <c r="T275" s="3"/>
      <c r="U275" s="3">
        <v>1</v>
      </c>
      <c r="V275" s="3">
        <v>1</v>
      </c>
      <c r="W275" s="3" t="s">
        <v>40</v>
      </c>
      <c r="X275" s="3" t="s">
        <v>40</v>
      </c>
      <c r="Y275" s="3"/>
      <c r="Z275" s="3"/>
      <c r="AA275" s="3" t="s">
        <v>35</v>
      </c>
      <c r="AB275" s="6" t="str">
        <f>HYPERLINK(_xlfn.CONCAT("https://www.google.com/maps/search/",Tabela1[[#This Row],[GPS]]),"##")</f>
        <v>##</v>
      </c>
      <c r="AC275" s="3" t="str">
        <f>_xlfn.CONCAT("https://raw.githubusercontent.com/marcelo-pascoal/Semaforos/refs/heads/main/fotosD/",Tabela1[[#This Row],[Foto1]])</f>
        <v>https://raw.githubusercontent.com/marcelo-pascoal/Semaforos/refs/heads/main/fotosD/DSCF7752.JPG</v>
      </c>
      <c r="AD275" s="3" t="str">
        <f>_xlfn.CONCAT("https://raw.githubusercontent.com/marcelo-pascoal/Semaforos/refs/heads/main/fotos/",Tabela1[[#This Row],[id_0]],".jpg")</f>
        <v>https://raw.githubusercontent.com/marcelo-pascoal/Semaforos/refs/heads/main/fotos/479.jpg</v>
      </c>
      <c r="AE275" s="3" t="str">
        <f>_xlfn.CONCAT("https://raw.githubusercontent.com/marcelo-pascoal/Semaforos/refs/heads/main/fotosD/",Tabela1[[#This Row],[id_0]],".jpg")</f>
        <v>https://raw.githubusercontent.com/marcelo-pascoal/Semaforos/refs/heads/main/fotosD/479.jpg</v>
      </c>
      <c r="AF275" s="3">
        <v>2</v>
      </c>
    </row>
    <row r="276" spans="1:32" ht="250" customHeight="1" x14ac:dyDescent="0.35">
      <c r="A276" s="2" t="s">
        <v>936</v>
      </c>
      <c r="B276" s="5">
        <v>480</v>
      </c>
      <c r="C276" s="2" t="s">
        <v>958</v>
      </c>
      <c r="D276" s="1" t="s">
        <v>38</v>
      </c>
      <c r="E276" s="2" t="s">
        <v>1147</v>
      </c>
      <c r="F276" s="2" t="s">
        <v>960</v>
      </c>
      <c r="G276" s="1" t="s">
        <v>1144</v>
      </c>
      <c r="H276" s="1" t="s">
        <v>1146</v>
      </c>
      <c r="I276" s="1" t="s">
        <v>959</v>
      </c>
      <c r="J276" s="2" t="s">
        <v>563</v>
      </c>
      <c r="K276" s="2" t="s">
        <v>880</v>
      </c>
      <c r="L276" s="3"/>
      <c r="M276" s="3"/>
      <c r="N276" s="3"/>
      <c r="O276" s="3"/>
      <c r="P276" s="3">
        <v>1</v>
      </c>
      <c r="Q276" s="3"/>
      <c r="R276" s="3"/>
      <c r="S276" s="3"/>
      <c r="T276" s="3"/>
      <c r="U276" s="3"/>
      <c r="V276" s="3">
        <v>1</v>
      </c>
      <c r="W276" s="3" t="s">
        <v>40</v>
      </c>
      <c r="X276" s="3"/>
      <c r="Y276" s="3"/>
      <c r="Z276" s="3"/>
      <c r="AA276" s="3" t="s">
        <v>35</v>
      </c>
      <c r="AB276" s="6" t="str">
        <f>HYPERLINK(_xlfn.CONCAT("https://www.google.com/maps/search/",Tabela1[[#This Row],[GPS]]),"##")</f>
        <v>##</v>
      </c>
      <c r="AC276" s="3" t="str">
        <f>_xlfn.CONCAT("https://raw.githubusercontent.com/marcelo-pascoal/Semaforos/refs/heads/main/fotosD/",Tabela1[[#This Row],[Foto1]])</f>
        <v>https://raw.githubusercontent.com/marcelo-pascoal/Semaforos/refs/heads/main/fotosD/DSCF7757.JPG</v>
      </c>
      <c r="AD276" s="3" t="str">
        <f>_xlfn.CONCAT("https://raw.githubusercontent.com/marcelo-pascoal/Semaforos/refs/heads/main/fotos/",Tabela1[[#This Row],[id_0]],".jpg")</f>
        <v>https://raw.githubusercontent.com/marcelo-pascoal/Semaforos/refs/heads/main/fotos/480.jpg</v>
      </c>
      <c r="AE276" s="3" t="str">
        <f>_xlfn.CONCAT("https://raw.githubusercontent.com/marcelo-pascoal/Semaforos/refs/heads/main/fotosD/",Tabela1[[#This Row],[id_0]],".jpg")</f>
        <v>https://raw.githubusercontent.com/marcelo-pascoal/Semaforos/refs/heads/main/fotosD/480.jpg</v>
      </c>
      <c r="AF276" s="3">
        <v>2</v>
      </c>
    </row>
    <row r="277" spans="1:32" ht="250" customHeight="1" x14ac:dyDescent="0.35">
      <c r="A277" s="2" t="s">
        <v>936</v>
      </c>
      <c r="B277" s="5">
        <v>624</v>
      </c>
      <c r="C277" s="2" t="s">
        <v>1166</v>
      </c>
      <c r="D277" s="1" t="s">
        <v>38</v>
      </c>
      <c r="E277" s="1"/>
      <c r="G277" s="1" t="s">
        <v>1144</v>
      </c>
      <c r="H277" s="1" t="s">
        <v>1146</v>
      </c>
      <c r="I277" s="1" t="s">
        <v>1167</v>
      </c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7" t="str">
        <f>HYPERLINK(_xlfn.CONCAT("https://www.google.com/maps/search/",Tabela1[[#This Row],[GPS]]),"##")</f>
        <v>##</v>
      </c>
      <c r="AC277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77" s="3" t="str">
        <f>_xlfn.CONCAT("https://raw.githubusercontent.com/marcelo-pascoal/Semaforos/refs/heads/main/fotos/",Tabela1[[#This Row],[id_0]],".jpg")</f>
        <v>https://raw.githubusercontent.com/marcelo-pascoal/Semaforos/refs/heads/main/fotos/624.jpg</v>
      </c>
      <c r="AE277" s="3" t="str">
        <f>_xlfn.CONCAT("https://raw.githubusercontent.com/marcelo-pascoal/Semaforos/refs/heads/main/fotosD/",Tabela1[[#This Row],[id_0]],".jpg")</f>
        <v>https://raw.githubusercontent.com/marcelo-pascoal/Semaforos/refs/heads/main/fotosD/624.jpg</v>
      </c>
      <c r="AF277" s="3">
        <v>2</v>
      </c>
    </row>
    <row r="278" spans="1:32" ht="250" customHeight="1" x14ac:dyDescent="0.35">
      <c r="A278" s="2" t="s">
        <v>936</v>
      </c>
      <c r="B278" s="5">
        <v>481</v>
      </c>
      <c r="C278" s="2" t="s">
        <v>961</v>
      </c>
      <c r="D278" s="1" t="s">
        <v>38</v>
      </c>
      <c r="E278" s="2" t="s">
        <v>1147</v>
      </c>
      <c r="F278" s="2" t="s">
        <v>963</v>
      </c>
      <c r="G278" s="1" t="s">
        <v>1144</v>
      </c>
      <c r="H278" s="1" t="s">
        <v>1146</v>
      </c>
      <c r="I278" s="1" t="s">
        <v>962</v>
      </c>
      <c r="J278" s="2" t="s">
        <v>458</v>
      </c>
      <c r="K278" s="2" t="s">
        <v>880</v>
      </c>
      <c r="L278" s="3"/>
      <c r="M278" s="3"/>
      <c r="N278" s="3"/>
      <c r="O278" s="3"/>
      <c r="P278" s="3">
        <v>1</v>
      </c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 t="s">
        <v>35</v>
      </c>
      <c r="AB278" s="6" t="str">
        <f>HYPERLINK(_xlfn.CONCAT("https://www.google.com/maps/search/",Tabela1[[#This Row],[GPS]]),"##")</f>
        <v>##</v>
      </c>
      <c r="AC278" s="3" t="str">
        <f>_xlfn.CONCAT("https://raw.githubusercontent.com/marcelo-pascoal/Semaforos/refs/heads/main/fotosD/",Tabela1[[#This Row],[Foto1]])</f>
        <v>https://raw.githubusercontent.com/marcelo-pascoal/Semaforos/refs/heads/main/fotosD/DSCF7741.JPG</v>
      </c>
      <c r="AD278" s="3" t="str">
        <f>_xlfn.CONCAT("https://raw.githubusercontent.com/marcelo-pascoal/Semaforos/refs/heads/main/fotos/",Tabela1[[#This Row],[id_0]],".jpg")</f>
        <v>https://raw.githubusercontent.com/marcelo-pascoal/Semaforos/refs/heads/main/fotos/481.jpg</v>
      </c>
      <c r="AE278" s="3" t="str">
        <f>_xlfn.CONCAT("https://raw.githubusercontent.com/marcelo-pascoal/Semaforos/refs/heads/main/fotosD/",Tabela1[[#This Row],[id_0]],".jpg")</f>
        <v>https://raw.githubusercontent.com/marcelo-pascoal/Semaforos/refs/heads/main/fotosD/481.jpg</v>
      </c>
      <c r="AF278" s="3">
        <v>5</v>
      </c>
    </row>
    <row r="279" spans="1:32" ht="250" customHeight="1" x14ac:dyDescent="0.35">
      <c r="A279" s="2" t="s">
        <v>964</v>
      </c>
      <c r="B279" s="5">
        <v>163</v>
      </c>
      <c r="C279" s="2" t="s">
        <v>965</v>
      </c>
      <c r="D279" s="1" t="s">
        <v>31</v>
      </c>
      <c r="E279" s="2" t="s">
        <v>1147</v>
      </c>
      <c r="F279" s="2" t="s">
        <v>968</v>
      </c>
      <c r="G279" s="1" t="s">
        <v>1144</v>
      </c>
      <c r="H279" s="1" t="s">
        <v>31</v>
      </c>
      <c r="I279" s="1" t="s">
        <v>966</v>
      </c>
      <c r="J279" s="2" t="s">
        <v>240</v>
      </c>
      <c r="K279" s="2" t="s">
        <v>967</v>
      </c>
      <c r="L279" s="3"/>
      <c r="M279" s="3">
        <v>1</v>
      </c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 t="s">
        <v>35</v>
      </c>
      <c r="AB279" s="6" t="str">
        <f>HYPERLINK(_xlfn.CONCAT("https://www.google.com/maps/search/",Tabela1[[#This Row],[GPS]]),"##")</f>
        <v>##</v>
      </c>
      <c r="AC279" s="3" t="str">
        <f>_xlfn.CONCAT("https://raw.githubusercontent.com/marcelo-pascoal/Semaforos/refs/heads/main/fotosD/",Tabela1[[#This Row],[Foto1]])</f>
        <v>https://raw.githubusercontent.com/marcelo-pascoal/Semaforos/refs/heads/main/fotosD/DSCF7761.JPG</v>
      </c>
      <c r="AD279" s="3" t="str">
        <f>_xlfn.CONCAT("https://raw.githubusercontent.com/marcelo-pascoal/Semaforos/refs/heads/main/fotos/",Tabela1[[#This Row],[id_0]],".jpg")</f>
        <v>https://raw.githubusercontent.com/marcelo-pascoal/Semaforos/refs/heads/main/fotos/163.jpg</v>
      </c>
      <c r="AE279" s="3" t="str">
        <f>_xlfn.CONCAT("https://raw.githubusercontent.com/marcelo-pascoal/Semaforos/refs/heads/main/fotosD/",Tabela1[[#This Row],[id_0]],".jpg")</f>
        <v>https://raw.githubusercontent.com/marcelo-pascoal/Semaforos/refs/heads/main/fotosD/163.jpg</v>
      </c>
      <c r="AF279" s="3">
        <v>5</v>
      </c>
    </row>
    <row r="280" spans="1:32" ht="250" customHeight="1" x14ac:dyDescent="0.35">
      <c r="A280" s="2" t="s">
        <v>964</v>
      </c>
      <c r="B280" s="5">
        <v>164</v>
      </c>
      <c r="C280" s="2" t="s">
        <v>969</v>
      </c>
      <c r="D280" s="1" t="s">
        <v>60</v>
      </c>
      <c r="E280" s="2" t="s">
        <v>1147</v>
      </c>
      <c r="F280" s="2" t="s">
        <v>971</v>
      </c>
      <c r="G280" s="1" t="s">
        <v>1145</v>
      </c>
      <c r="H280" s="1" t="s">
        <v>1146</v>
      </c>
      <c r="I280" s="1" t="s">
        <v>970</v>
      </c>
      <c r="J280" s="2" t="s">
        <v>240</v>
      </c>
      <c r="K280" s="2" t="s">
        <v>967</v>
      </c>
      <c r="L280" s="3">
        <v>2</v>
      </c>
      <c r="M280" s="3"/>
      <c r="N280" s="3"/>
      <c r="O280" s="3">
        <v>1</v>
      </c>
      <c r="P280" s="3">
        <v>3</v>
      </c>
      <c r="Q280" s="3">
        <v>3</v>
      </c>
      <c r="R280" s="3">
        <v>1</v>
      </c>
      <c r="S280" s="3">
        <v>1</v>
      </c>
      <c r="T280" s="3">
        <v>1</v>
      </c>
      <c r="U280" s="3">
        <v>1</v>
      </c>
      <c r="V280" s="3">
        <v>1</v>
      </c>
      <c r="W280" s="3" t="s">
        <v>40</v>
      </c>
      <c r="X280" s="3" t="s">
        <v>40</v>
      </c>
      <c r="Y280" s="3" t="s">
        <v>40</v>
      </c>
      <c r="Z280" s="3"/>
      <c r="AA280" s="3" t="s">
        <v>35</v>
      </c>
      <c r="AB280" s="6" t="str">
        <f>HYPERLINK(_xlfn.CONCAT("https://www.google.com/maps/search/",Tabela1[[#This Row],[GPS]]),"##")</f>
        <v>##</v>
      </c>
      <c r="AC280" s="3" t="str">
        <f>_xlfn.CONCAT("https://raw.githubusercontent.com/marcelo-pascoal/Semaforos/refs/heads/main/fotosD/",Tabela1[[#This Row],[Foto1]])</f>
        <v>https://raw.githubusercontent.com/marcelo-pascoal/Semaforos/refs/heads/main/fotosD/DSCF7763.JPG</v>
      </c>
      <c r="AD280" s="3" t="str">
        <f>_xlfn.CONCAT("https://raw.githubusercontent.com/marcelo-pascoal/Semaforos/refs/heads/main/fotos/",Tabela1[[#This Row],[id_0]],".jpg")</f>
        <v>https://raw.githubusercontent.com/marcelo-pascoal/Semaforos/refs/heads/main/fotos/164.jpg</v>
      </c>
      <c r="AE280" s="3" t="str">
        <f>_xlfn.CONCAT("https://raw.githubusercontent.com/marcelo-pascoal/Semaforos/refs/heads/main/fotosD/",Tabela1[[#This Row],[id_0]],".jpg")</f>
        <v>https://raw.githubusercontent.com/marcelo-pascoal/Semaforos/refs/heads/main/fotosD/164.jpg</v>
      </c>
      <c r="AF280" s="3">
        <v>5</v>
      </c>
    </row>
    <row r="281" spans="1:32" ht="250" customHeight="1" x14ac:dyDescent="0.35">
      <c r="A281" s="2" t="s">
        <v>964</v>
      </c>
      <c r="B281" s="5">
        <v>165</v>
      </c>
      <c r="C281" s="2" t="s">
        <v>972</v>
      </c>
      <c r="D281" s="1" t="s">
        <v>38</v>
      </c>
      <c r="E281" s="2" t="s">
        <v>1147</v>
      </c>
      <c r="F281" s="2" t="s">
        <v>974</v>
      </c>
      <c r="G281" s="1" t="s">
        <v>1144</v>
      </c>
      <c r="H281" s="1" t="s">
        <v>1146</v>
      </c>
      <c r="I281" s="1" t="s">
        <v>973</v>
      </c>
      <c r="J281" s="2" t="s">
        <v>240</v>
      </c>
      <c r="K281" s="2" t="s">
        <v>967</v>
      </c>
      <c r="L281" s="3"/>
      <c r="M281" s="3"/>
      <c r="N281" s="3"/>
      <c r="O281" s="3">
        <v>1</v>
      </c>
      <c r="P281" s="3">
        <v>1</v>
      </c>
      <c r="Q281" s="3">
        <v>1</v>
      </c>
      <c r="R281" s="3">
        <v>1</v>
      </c>
      <c r="S281" s="3">
        <v>1</v>
      </c>
      <c r="T281" s="3">
        <v>1</v>
      </c>
      <c r="U281" s="3">
        <v>1</v>
      </c>
      <c r="V281" s="3">
        <v>1</v>
      </c>
      <c r="W281" s="3" t="s">
        <v>40</v>
      </c>
      <c r="X281" s="3" t="s">
        <v>40</v>
      </c>
      <c r="Y281" s="3"/>
      <c r="Z281" s="3"/>
      <c r="AA281" s="3" t="s">
        <v>35</v>
      </c>
      <c r="AB281" s="6" t="str">
        <f>HYPERLINK(_xlfn.CONCAT("https://www.google.com/maps/search/",Tabela1[[#This Row],[GPS]]),"##")</f>
        <v>##</v>
      </c>
      <c r="AC281" s="3" t="str">
        <f>_xlfn.CONCAT("https://raw.githubusercontent.com/marcelo-pascoal/Semaforos/refs/heads/main/fotosD/",Tabela1[[#This Row],[Foto1]])</f>
        <v>https://raw.githubusercontent.com/marcelo-pascoal/Semaforos/refs/heads/main/fotosD/DSCF7765.JPG</v>
      </c>
      <c r="AD281" s="3" t="str">
        <f>_xlfn.CONCAT("https://raw.githubusercontent.com/marcelo-pascoal/Semaforos/refs/heads/main/fotos/",Tabela1[[#This Row],[id_0]],".jpg")</f>
        <v>https://raw.githubusercontent.com/marcelo-pascoal/Semaforos/refs/heads/main/fotos/165.jpg</v>
      </c>
      <c r="AE281" s="3" t="str">
        <f>_xlfn.CONCAT("https://raw.githubusercontent.com/marcelo-pascoal/Semaforos/refs/heads/main/fotosD/",Tabela1[[#This Row],[id_0]],".jpg")</f>
        <v>https://raw.githubusercontent.com/marcelo-pascoal/Semaforos/refs/heads/main/fotosD/165.jpg</v>
      </c>
      <c r="AF281" s="3">
        <v>5</v>
      </c>
    </row>
    <row r="282" spans="1:32" ht="250" customHeight="1" x14ac:dyDescent="0.35">
      <c r="A282" s="2" t="s">
        <v>964</v>
      </c>
      <c r="B282" s="5">
        <v>166</v>
      </c>
      <c r="C282" s="2" t="s">
        <v>975</v>
      </c>
      <c r="D282" s="1" t="s">
        <v>31</v>
      </c>
      <c r="E282" s="2" t="s">
        <v>1147</v>
      </c>
      <c r="F282" s="2" t="s">
        <v>977</v>
      </c>
      <c r="G282" s="1" t="s">
        <v>1144</v>
      </c>
      <c r="H282" s="1" t="s">
        <v>31</v>
      </c>
      <c r="I282" s="1" t="s">
        <v>976</v>
      </c>
      <c r="J282" s="2" t="s">
        <v>240</v>
      </c>
      <c r="K282" s="2" t="s">
        <v>967</v>
      </c>
      <c r="L282" s="3"/>
      <c r="M282" s="3">
        <v>2</v>
      </c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 t="s">
        <v>35</v>
      </c>
      <c r="AB282" s="6" t="str">
        <f>HYPERLINK(_xlfn.CONCAT("https://www.google.com/maps/search/",Tabela1[[#This Row],[GPS]]),"##")</f>
        <v>##</v>
      </c>
      <c r="AC282" s="3" t="str">
        <f>_xlfn.CONCAT("https://raw.githubusercontent.com/marcelo-pascoal/Semaforos/refs/heads/main/fotosD/",Tabela1[[#This Row],[Foto1]])</f>
        <v>https://raw.githubusercontent.com/marcelo-pascoal/Semaforos/refs/heads/main/fotosD/DSCF7774.JPG</v>
      </c>
      <c r="AD282" s="3" t="str">
        <f>_xlfn.CONCAT("https://raw.githubusercontent.com/marcelo-pascoal/Semaforos/refs/heads/main/fotos/",Tabela1[[#This Row],[id_0]],".jpg")</f>
        <v>https://raw.githubusercontent.com/marcelo-pascoal/Semaforos/refs/heads/main/fotos/166.jpg</v>
      </c>
      <c r="AE282" s="3" t="str">
        <f>_xlfn.CONCAT("https://raw.githubusercontent.com/marcelo-pascoal/Semaforos/refs/heads/main/fotosD/",Tabela1[[#This Row],[id_0]],".jpg")</f>
        <v>https://raw.githubusercontent.com/marcelo-pascoal/Semaforos/refs/heads/main/fotosD/166.jpg</v>
      </c>
      <c r="AF282" s="3">
        <v>5</v>
      </c>
    </row>
    <row r="283" spans="1:32" ht="250" customHeight="1" x14ac:dyDescent="0.35">
      <c r="A283" s="2" t="s">
        <v>978</v>
      </c>
      <c r="B283" s="5">
        <v>159</v>
      </c>
      <c r="C283" s="2" t="s">
        <v>979</v>
      </c>
      <c r="D283" s="1" t="s">
        <v>31</v>
      </c>
      <c r="E283" s="2" t="s">
        <v>1147</v>
      </c>
      <c r="F283" s="2" t="s">
        <v>982</v>
      </c>
      <c r="G283" s="1" t="s">
        <v>1144</v>
      </c>
      <c r="H283" s="1" t="s">
        <v>31</v>
      </c>
      <c r="I283" s="1" t="s">
        <v>980</v>
      </c>
      <c r="J283" s="2" t="s">
        <v>981</v>
      </c>
      <c r="K283" s="2" t="s">
        <v>967</v>
      </c>
      <c r="L283" s="3"/>
      <c r="M283" s="3">
        <v>2</v>
      </c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 t="s">
        <v>35</v>
      </c>
      <c r="AB283" s="6" t="str">
        <f>HYPERLINK(_xlfn.CONCAT("https://www.google.com/maps/search/",Tabela1[[#This Row],[GPS]]),"##")</f>
        <v>##</v>
      </c>
      <c r="AC283" s="3" t="str">
        <f>_xlfn.CONCAT("https://raw.githubusercontent.com/marcelo-pascoal/Semaforos/refs/heads/main/fotosD/",Tabela1[[#This Row],[Foto1]])</f>
        <v>https://raw.githubusercontent.com/marcelo-pascoal/Semaforos/refs/heads/main/fotosD/DSCF7789.JPG</v>
      </c>
      <c r="AD283" s="3" t="str">
        <f>_xlfn.CONCAT("https://raw.githubusercontent.com/marcelo-pascoal/Semaforos/refs/heads/main/fotos/",Tabela1[[#This Row],[id_0]],".jpg")</f>
        <v>https://raw.githubusercontent.com/marcelo-pascoal/Semaforos/refs/heads/main/fotos/159.jpg</v>
      </c>
      <c r="AE283" s="3" t="str">
        <f>_xlfn.CONCAT("https://raw.githubusercontent.com/marcelo-pascoal/Semaforos/refs/heads/main/fotosD/",Tabela1[[#This Row],[id_0]],".jpg")</f>
        <v>https://raw.githubusercontent.com/marcelo-pascoal/Semaforos/refs/heads/main/fotosD/159.jpg</v>
      </c>
      <c r="AF283" s="3">
        <v>2</v>
      </c>
    </row>
    <row r="284" spans="1:32" ht="250" customHeight="1" x14ac:dyDescent="0.35">
      <c r="A284" s="2" t="s">
        <v>978</v>
      </c>
      <c r="B284" s="5">
        <v>160</v>
      </c>
      <c r="C284" s="2" t="s">
        <v>983</v>
      </c>
      <c r="D284" s="1" t="s">
        <v>38</v>
      </c>
      <c r="E284" s="2" t="s">
        <v>1147</v>
      </c>
      <c r="F284" s="2" t="s">
        <v>985</v>
      </c>
      <c r="G284" s="1" t="s">
        <v>1144</v>
      </c>
      <c r="H284" s="1" t="s">
        <v>1146</v>
      </c>
      <c r="I284" s="1" t="s">
        <v>984</v>
      </c>
      <c r="J284" s="2" t="s">
        <v>981</v>
      </c>
      <c r="K284" s="2" t="s">
        <v>967</v>
      </c>
      <c r="L284" s="3"/>
      <c r="M284" s="3"/>
      <c r="N284" s="3"/>
      <c r="O284" s="3">
        <v>1</v>
      </c>
      <c r="P284" s="3">
        <v>1</v>
      </c>
      <c r="Q284" s="3">
        <v>1</v>
      </c>
      <c r="R284" s="3">
        <v>1</v>
      </c>
      <c r="S284" s="3">
        <v>1</v>
      </c>
      <c r="T284" s="3">
        <v>1</v>
      </c>
      <c r="U284" s="3">
        <v>1</v>
      </c>
      <c r="V284" s="3">
        <v>1</v>
      </c>
      <c r="W284" s="3" t="s">
        <v>40</v>
      </c>
      <c r="X284" s="3" t="s">
        <v>40</v>
      </c>
      <c r="Y284" s="3"/>
      <c r="Z284" s="3"/>
      <c r="AA284" s="3" t="s">
        <v>35</v>
      </c>
      <c r="AB284" s="6" t="str">
        <f>HYPERLINK(_xlfn.CONCAT("https://www.google.com/maps/search/",Tabela1[[#This Row],[GPS]]),"##")</f>
        <v>##</v>
      </c>
      <c r="AC284" s="3" t="str">
        <f>_xlfn.CONCAT("https://raw.githubusercontent.com/marcelo-pascoal/Semaforos/refs/heads/main/fotosD/",Tabela1[[#This Row],[Foto1]])</f>
        <v>https://raw.githubusercontent.com/marcelo-pascoal/Semaforos/refs/heads/main/fotosD/DSCF7780.JPG</v>
      </c>
      <c r="AD284" s="3" t="str">
        <f>_xlfn.CONCAT("https://raw.githubusercontent.com/marcelo-pascoal/Semaforos/refs/heads/main/fotos/",Tabela1[[#This Row],[id_0]],".jpg")</f>
        <v>https://raw.githubusercontent.com/marcelo-pascoal/Semaforos/refs/heads/main/fotos/160.jpg</v>
      </c>
      <c r="AE284" s="3" t="str">
        <f>_xlfn.CONCAT("https://raw.githubusercontent.com/marcelo-pascoal/Semaforos/refs/heads/main/fotosD/",Tabela1[[#This Row],[id_0]],".jpg")</f>
        <v>https://raw.githubusercontent.com/marcelo-pascoal/Semaforos/refs/heads/main/fotosD/160.jpg</v>
      </c>
      <c r="AF284" s="3">
        <v>2</v>
      </c>
    </row>
    <row r="285" spans="1:32" ht="250" customHeight="1" x14ac:dyDescent="0.35">
      <c r="A285" s="2" t="s">
        <v>978</v>
      </c>
      <c r="B285" s="5">
        <v>161</v>
      </c>
      <c r="C285" s="2" t="s">
        <v>986</v>
      </c>
      <c r="D285" s="1" t="s">
        <v>60</v>
      </c>
      <c r="E285" s="2" t="s">
        <v>1147</v>
      </c>
      <c r="F285" s="2" t="s">
        <v>988</v>
      </c>
      <c r="G285" s="1" t="s">
        <v>1145</v>
      </c>
      <c r="H285" s="1" t="s">
        <v>1146</v>
      </c>
      <c r="I285" s="1" t="s">
        <v>987</v>
      </c>
      <c r="J285" s="2" t="s">
        <v>981</v>
      </c>
      <c r="K285" s="2" t="s">
        <v>967</v>
      </c>
      <c r="L285" s="3">
        <v>2</v>
      </c>
      <c r="M285" s="3"/>
      <c r="N285" s="3"/>
      <c r="O285" s="3">
        <v>1</v>
      </c>
      <c r="P285" s="3">
        <v>3</v>
      </c>
      <c r="Q285" s="3">
        <v>3</v>
      </c>
      <c r="R285" s="3">
        <v>1</v>
      </c>
      <c r="S285" s="3">
        <v>1</v>
      </c>
      <c r="T285" s="3">
        <v>1</v>
      </c>
      <c r="U285" s="3">
        <v>1</v>
      </c>
      <c r="V285" s="3">
        <v>1</v>
      </c>
      <c r="W285" s="3" t="s">
        <v>40</v>
      </c>
      <c r="X285" s="3" t="s">
        <v>40</v>
      </c>
      <c r="Y285" s="3" t="s">
        <v>40</v>
      </c>
      <c r="Z285" s="3"/>
      <c r="AA285" s="3" t="s">
        <v>35</v>
      </c>
      <c r="AB285" s="6" t="str">
        <f>HYPERLINK(_xlfn.CONCAT("https://www.google.com/maps/search/",Tabela1[[#This Row],[GPS]]),"##")</f>
        <v>##</v>
      </c>
      <c r="AC285" s="3" t="str">
        <f>_xlfn.CONCAT("https://raw.githubusercontent.com/marcelo-pascoal/Semaforos/refs/heads/main/fotosD/",Tabela1[[#This Row],[Foto1]])</f>
        <v>https://raw.githubusercontent.com/marcelo-pascoal/Semaforos/refs/heads/main/fotosD/DSCF7783.JPG</v>
      </c>
      <c r="AD285" s="3" t="str">
        <f>_xlfn.CONCAT("https://raw.githubusercontent.com/marcelo-pascoal/Semaforos/refs/heads/main/fotos/",Tabela1[[#This Row],[id_0]],".jpg")</f>
        <v>https://raw.githubusercontent.com/marcelo-pascoal/Semaforos/refs/heads/main/fotos/161.jpg</v>
      </c>
      <c r="AE285" s="3" t="str">
        <f>_xlfn.CONCAT("https://raw.githubusercontent.com/marcelo-pascoal/Semaforos/refs/heads/main/fotosD/",Tabela1[[#This Row],[id_0]],".jpg")</f>
        <v>https://raw.githubusercontent.com/marcelo-pascoal/Semaforos/refs/heads/main/fotosD/161.jpg</v>
      </c>
      <c r="AF285" s="3">
        <v>2</v>
      </c>
    </row>
    <row r="286" spans="1:32" ht="250" customHeight="1" x14ac:dyDescent="0.35">
      <c r="A286" s="2" t="s">
        <v>978</v>
      </c>
      <c r="B286" s="5">
        <v>625</v>
      </c>
      <c r="C286" s="2" t="s">
        <v>1160</v>
      </c>
      <c r="D286" s="1" t="s">
        <v>60</v>
      </c>
      <c r="E286" s="1"/>
      <c r="G286" s="1" t="s">
        <v>1145</v>
      </c>
      <c r="H286" s="1" t="s">
        <v>1146</v>
      </c>
      <c r="I286" s="1" t="s">
        <v>1159</v>
      </c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 t="s">
        <v>35</v>
      </c>
      <c r="AB286" s="7" t="str">
        <f>HYPERLINK(_xlfn.CONCAT("https://www.google.com/maps/search/",Tabela1[[#This Row],[GPS]]),"##")</f>
        <v>##</v>
      </c>
      <c r="AC286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86" s="3" t="str">
        <f>_xlfn.CONCAT("https://raw.githubusercontent.com/marcelo-pascoal/Semaforos/refs/heads/main/fotos/",Tabela1[[#This Row],[id_0]],".jpg")</f>
        <v>https://raw.githubusercontent.com/marcelo-pascoal/Semaforos/refs/heads/main/fotos/625.jpg</v>
      </c>
      <c r="AE286" s="3" t="str">
        <f>_xlfn.CONCAT("https://raw.githubusercontent.com/marcelo-pascoal/Semaforos/refs/heads/main/fotosD/",Tabela1[[#This Row],[id_0]],".jpg")</f>
        <v>https://raw.githubusercontent.com/marcelo-pascoal/Semaforos/refs/heads/main/fotosD/625.jpg</v>
      </c>
      <c r="AF286" s="3">
        <v>2</v>
      </c>
    </row>
    <row r="287" spans="1:32" ht="250" customHeight="1" x14ac:dyDescent="0.35">
      <c r="A287" s="2" t="s">
        <v>978</v>
      </c>
      <c r="B287" s="5">
        <v>162</v>
      </c>
      <c r="C287" s="2" t="s">
        <v>989</v>
      </c>
      <c r="D287" s="1" t="s">
        <v>31</v>
      </c>
      <c r="E287" s="2" t="s">
        <v>1147</v>
      </c>
      <c r="F287" s="2" t="s">
        <v>991</v>
      </c>
      <c r="G287" s="1" t="s">
        <v>1144</v>
      </c>
      <c r="H287" s="1" t="s">
        <v>31</v>
      </c>
      <c r="I287" s="1" t="s">
        <v>990</v>
      </c>
      <c r="J287" s="2" t="s">
        <v>981</v>
      </c>
      <c r="K287" s="2" t="s">
        <v>967</v>
      </c>
      <c r="L287" s="3"/>
      <c r="M287" s="3">
        <v>2</v>
      </c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 t="s">
        <v>35</v>
      </c>
      <c r="AB287" s="6" t="str">
        <f>HYPERLINK(_xlfn.CONCAT("https://www.google.com/maps/search/",Tabela1[[#This Row],[GPS]]),"##")</f>
        <v>##</v>
      </c>
      <c r="AC287" s="3" t="str">
        <f>_xlfn.CONCAT("https://raw.githubusercontent.com/marcelo-pascoal/Semaforos/refs/heads/main/fotosD/",Tabela1[[#This Row],[Foto1]])</f>
        <v>https://raw.githubusercontent.com/marcelo-pascoal/Semaforos/refs/heads/main/fotosD/DSCF7776.JPG</v>
      </c>
      <c r="AD287" s="3" t="str">
        <f>_xlfn.CONCAT("https://raw.githubusercontent.com/marcelo-pascoal/Semaforos/refs/heads/main/fotos/",Tabela1[[#This Row],[id_0]],".jpg")</f>
        <v>https://raw.githubusercontent.com/marcelo-pascoal/Semaforos/refs/heads/main/fotos/162.jpg</v>
      </c>
      <c r="AE287" s="3" t="str">
        <f>_xlfn.CONCAT("https://raw.githubusercontent.com/marcelo-pascoal/Semaforos/refs/heads/main/fotosD/",Tabela1[[#This Row],[id_0]],".jpg")</f>
        <v>https://raw.githubusercontent.com/marcelo-pascoal/Semaforos/refs/heads/main/fotosD/162.jpg</v>
      </c>
      <c r="AF287" s="3">
        <v>2</v>
      </c>
    </row>
    <row r="288" spans="1:32" ht="250" customHeight="1" x14ac:dyDescent="0.35">
      <c r="A288" s="2" t="s">
        <v>992</v>
      </c>
      <c r="B288" s="5">
        <v>491</v>
      </c>
      <c r="C288" s="2" t="s">
        <v>993</v>
      </c>
      <c r="D288" s="1" t="s">
        <v>31</v>
      </c>
      <c r="E288" s="2" t="s">
        <v>1147</v>
      </c>
      <c r="F288" s="2" t="s">
        <v>997</v>
      </c>
      <c r="G288" s="1" t="s">
        <v>1144</v>
      </c>
      <c r="H288" s="1" t="s">
        <v>31</v>
      </c>
      <c r="I288" s="1" t="s">
        <v>994</v>
      </c>
      <c r="J288" s="2" t="s">
        <v>995</v>
      </c>
      <c r="K288" s="2" t="s">
        <v>996</v>
      </c>
      <c r="L288" s="3"/>
      <c r="M288" s="3">
        <v>2</v>
      </c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 t="s">
        <v>233</v>
      </c>
      <c r="AB288" s="6" t="str">
        <f>HYPERLINK(_xlfn.CONCAT("https://www.google.com/maps/search/",Tabela1[[#This Row],[GPS]]),"##")</f>
        <v>##</v>
      </c>
      <c r="AC288" s="3" t="str">
        <f>_xlfn.CONCAT("https://raw.githubusercontent.com/marcelo-pascoal/Semaforos/refs/heads/main/fotosD/",Tabela1[[#This Row],[Foto1]])</f>
        <v>https://raw.githubusercontent.com/marcelo-pascoal/Semaforos/refs/heads/main/fotosD/DSCF8030.JPG</v>
      </c>
      <c r="AD288" s="3" t="str">
        <f>_xlfn.CONCAT("https://raw.githubusercontent.com/marcelo-pascoal/Semaforos/refs/heads/main/fotos/",Tabela1[[#This Row],[id_0]],".jpg")</f>
        <v>https://raw.githubusercontent.com/marcelo-pascoal/Semaforos/refs/heads/main/fotos/491.jpg</v>
      </c>
      <c r="AE288" s="3" t="str">
        <f>_xlfn.CONCAT("https://raw.githubusercontent.com/marcelo-pascoal/Semaforos/refs/heads/main/fotosD/",Tabela1[[#This Row],[id_0]],".jpg")</f>
        <v>https://raw.githubusercontent.com/marcelo-pascoal/Semaforos/refs/heads/main/fotosD/491.jpg</v>
      </c>
      <c r="AF288" s="3">
        <v>5</v>
      </c>
    </row>
    <row r="289" spans="1:32" ht="250" customHeight="1" x14ac:dyDescent="0.35">
      <c r="A289" s="2" t="s">
        <v>992</v>
      </c>
      <c r="B289" s="5">
        <v>492</v>
      </c>
      <c r="C289" s="2" t="s">
        <v>998</v>
      </c>
      <c r="D289" s="1" t="s">
        <v>60</v>
      </c>
      <c r="E289" s="2" t="s">
        <v>1147</v>
      </c>
      <c r="F289" s="2" t="s">
        <v>1000</v>
      </c>
      <c r="G289" s="1" t="s">
        <v>1145</v>
      </c>
      <c r="H289" s="1" t="s">
        <v>1146</v>
      </c>
      <c r="I289" s="1" t="s">
        <v>999</v>
      </c>
      <c r="J289" s="2" t="s">
        <v>995</v>
      </c>
      <c r="K289" s="2" t="s">
        <v>996</v>
      </c>
      <c r="L289" s="3"/>
      <c r="M289" s="3"/>
      <c r="N289" s="3"/>
      <c r="O289" s="3">
        <v>2</v>
      </c>
      <c r="P289" s="3">
        <v>2</v>
      </c>
      <c r="Q289" s="3">
        <v>2</v>
      </c>
      <c r="R289" s="3"/>
      <c r="S289" s="3"/>
      <c r="T289" s="3"/>
      <c r="U289" s="3"/>
      <c r="V289" s="3"/>
      <c r="W289" s="3"/>
      <c r="X289" s="3"/>
      <c r="Y289" s="3" t="s">
        <v>40</v>
      </c>
      <c r="Z289" s="3"/>
      <c r="AA289" s="3" t="s">
        <v>233</v>
      </c>
      <c r="AB289" s="6" t="str">
        <f>HYPERLINK(_xlfn.CONCAT("https://www.google.com/maps/search/",Tabela1[[#This Row],[GPS]]),"##")</f>
        <v>##</v>
      </c>
      <c r="AC289" s="3" t="str">
        <f>_xlfn.CONCAT("https://raw.githubusercontent.com/marcelo-pascoal/Semaforos/refs/heads/main/fotosD/",Tabela1[[#This Row],[Foto1]])</f>
        <v>https://raw.githubusercontent.com/marcelo-pascoal/Semaforos/refs/heads/main/fotosD/DSCF8031.JPG</v>
      </c>
      <c r="AD289" s="3" t="str">
        <f>_xlfn.CONCAT("https://raw.githubusercontent.com/marcelo-pascoal/Semaforos/refs/heads/main/fotos/",Tabela1[[#This Row],[id_0]],".jpg")</f>
        <v>https://raw.githubusercontent.com/marcelo-pascoal/Semaforos/refs/heads/main/fotos/492.jpg</v>
      </c>
      <c r="AE289" s="3" t="str">
        <f>_xlfn.CONCAT("https://raw.githubusercontent.com/marcelo-pascoal/Semaforos/refs/heads/main/fotosD/",Tabela1[[#This Row],[id_0]],".jpg")</f>
        <v>https://raw.githubusercontent.com/marcelo-pascoal/Semaforos/refs/heads/main/fotosD/492.jpg</v>
      </c>
      <c r="AF289" s="3">
        <v>5</v>
      </c>
    </row>
    <row r="290" spans="1:32" ht="250" customHeight="1" x14ac:dyDescent="0.35">
      <c r="A290" s="2" t="s">
        <v>992</v>
      </c>
      <c r="B290" s="5">
        <v>493</v>
      </c>
      <c r="C290" s="2" t="s">
        <v>1001</v>
      </c>
      <c r="D290" s="1" t="s">
        <v>60</v>
      </c>
      <c r="E290" s="2" t="s">
        <v>1147</v>
      </c>
      <c r="F290" s="2" t="s">
        <v>1003</v>
      </c>
      <c r="G290" s="1" t="s">
        <v>1145</v>
      </c>
      <c r="H290" s="1" t="s">
        <v>1146</v>
      </c>
      <c r="I290" s="1" t="s">
        <v>1002</v>
      </c>
      <c r="J290" s="2" t="s">
        <v>995</v>
      </c>
      <c r="K290" s="2" t="s">
        <v>996</v>
      </c>
      <c r="L290" s="3"/>
      <c r="M290" s="3"/>
      <c r="N290" s="3"/>
      <c r="O290" s="3">
        <v>3</v>
      </c>
      <c r="P290" s="3">
        <v>3</v>
      </c>
      <c r="Q290" s="3">
        <v>3</v>
      </c>
      <c r="R290" s="3"/>
      <c r="S290" s="3"/>
      <c r="T290" s="3"/>
      <c r="U290" s="3">
        <v>1</v>
      </c>
      <c r="V290" s="3">
        <v>1</v>
      </c>
      <c r="W290" s="3"/>
      <c r="X290" s="3"/>
      <c r="Y290" s="3" t="s">
        <v>40</v>
      </c>
      <c r="Z290" s="3"/>
      <c r="AA290" s="3" t="s">
        <v>233</v>
      </c>
      <c r="AB290" s="6" t="str">
        <f>HYPERLINK(_xlfn.CONCAT("https://www.google.com/maps/search/",Tabela1[[#This Row],[GPS]]),"##")</f>
        <v>##</v>
      </c>
      <c r="AC290" s="3" t="str">
        <f>_xlfn.CONCAT("https://raw.githubusercontent.com/marcelo-pascoal/Semaforos/refs/heads/main/fotosD/",Tabela1[[#This Row],[Foto1]])</f>
        <v>https://raw.githubusercontent.com/marcelo-pascoal/Semaforos/refs/heads/main/fotosD/DSCF8032.JPG</v>
      </c>
      <c r="AD290" s="3" t="str">
        <f>_xlfn.CONCAT("https://raw.githubusercontent.com/marcelo-pascoal/Semaforos/refs/heads/main/fotos/",Tabela1[[#This Row],[id_0]],".jpg")</f>
        <v>https://raw.githubusercontent.com/marcelo-pascoal/Semaforos/refs/heads/main/fotos/493.jpg</v>
      </c>
      <c r="AE290" s="3" t="str">
        <f>_xlfn.CONCAT("https://raw.githubusercontent.com/marcelo-pascoal/Semaforos/refs/heads/main/fotosD/",Tabela1[[#This Row],[id_0]],".jpg")</f>
        <v>https://raw.githubusercontent.com/marcelo-pascoal/Semaforos/refs/heads/main/fotosD/493.jpg</v>
      </c>
      <c r="AF290" s="3">
        <v>5</v>
      </c>
    </row>
    <row r="291" spans="1:32" ht="250" customHeight="1" x14ac:dyDescent="0.35">
      <c r="A291" s="2" t="s">
        <v>992</v>
      </c>
      <c r="B291" s="5">
        <v>494</v>
      </c>
      <c r="C291" s="2" t="s">
        <v>1004</v>
      </c>
      <c r="D291" s="1" t="s">
        <v>38</v>
      </c>
      <c r="E291" s="2" t="s">
        <v>1147</v>
      </c>
      <c r="F291" s="2" t="s">
        <v>1006</v>
      </c>
      <c r="G291" s="1" t="s">
        <v>1144</v>
      </c>
      <c r="H291" s="1" t="s">
        <v>1146</v>
      </c>
      <c r="I291" s="1" t="s">
        <v>1005</v>
      </c>
      <c r="J291" s="2" t="s">
        <v>995</v>
      </c>
      <c r="K291" s="2" t="s">
        <v>996</v>
      </c>
      <c r="L291" s="3"/>
      <c r="M291" s="3"/>
      <c r="N291" s="3"/>
      <c r="O291" s="3">
        <v>1</v>
      </c>
      <c r="P291" s="3">
        <v>1</v>
      </c>
      <c r="Q291" s="3">
        <v>1</v>
      </c>
      <c r="R291" s="3"/>
      <c r="S291" s="3"/>
      <c r="T291" s="3"/>
      <c r="U291" s="3">
        <v>1</v>
      </c>
      <c r="V291" s="3">
        <v>1</v>
      </c>
      <c r="W291" s="3"/>
      <c r="X291" s="3"/>
      <c r="Y291" s="3"/>
      <c r="Z291" s="3"/>
      <c r="AA291" s="3" t="s">
        <v>35</v>
      </c>
      <c r="AB291" s="6" t="str">
        <f>HYPERLINK(_xlfn.CONCAT("https://www.google.com/maps/search/",Tabela1[[#This Row],[GPS]]),"##")</f>
        <v>##</v>
      </c>
      <c r="AC291" s="3" t="str">
        <f>_xlfn.CONCAT("https://raw.githubusercontent.com/marcelo-pascoal/Semaforos/refs/heads/main/fotosD/",Tabela1[[#This Row],[Foto1]])</f>
        <v>https://raw.githubusercontent.com/marcelo-pascoal/Semaforos/refs/heads/main/fotosD/DSCF8034.JPG</v>
      </c>
      <c r="AD291" s="3" t="str">
        <f>_xlfn.CONCAT("https://raw.githubusercontent.com/marcelo-pascoal/Semaforos/refs/heads/main/fotos/",Tabela1[[#This Row],[id_0]],".jpg")</f>
        <v>https://raw.githubusercontent.com/marcelo-pascoal/Semaforos/refs/heads/main/fotos/494.jpg</v>
      </c>
      <c r="AE291" s="3" t="str">
        <f>_xlfn.CONCAT("https://raw.githubusercontent.com/marcelo-pascoal/Semaforos/refs/heads/main/fotosD/",Tabela1[[#This Row],[id_0]],".jpg")</f>
        <v>https://raw.githubusercontent.com/marcelo-pascoal/Semaforos/refs/heads/main/fotosD/494.jpg</v>
      </c>
      <c r="AF291" s="3">
        <v>5</v>
      </c>
    </row>
    <row r="292" spans="1:32" ht="250" customHeight="1" x14ac:dyDescent="0.35">
      <c r="A292" s="2" t="s">
        <v>992</v>
      </c>
      <c r="B292" s="5">
        <v>495</v>
      </c>
      <c r="C292" s="2" t="s">
        <v>1007</v>
      </c>
      <c r="D292" s="1" t="s">
        <v>31</v>
      </c>
      <c r="E292" s="2" t="s">
        <v>1147</v>
      </c>
      <c r="F292" s="2" t="s">
        <v>1009</v>
      </c>
      <c r="G292" s="1" t="s">
        <v>1144</v>
      </c>
      <c r="H292" s="1" t="s">
        <v>31</v>
      </c>
      <c r="I292" s="1" t="s">
        <v>1008</v>
      </c>
      <c r="J292" s="2" t="s">
        <v>995</v>
      </c>
      <c r="K292" s="2" t="s">
        <v>996</v>
      </c>
      <c r="L292" s="3"/>
      <c r="M292" s="3">
        <v>2</v>
      </c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 t="s">
        <v>233</v>
      </c>
      <c r="AB292" s="6" t="str">
        <f>HYPERLINK(_xlfn.CONCAT("https://www.google.com/maps/search/",Tabela1[[#This Row],[GPS]]),"##")</f>
        <v>##</v>
      </c>
      <c r="AC292" s="3" t="str">
        <f>_xlfn.CONCAT("https://raw.githubusercontent.com/marcelo-pascoal/Semaforos/refs/heads/main/fotosD/",Tabela1[[#This Row],[Foto1]])</f>
        <v>https://raw.githubusercontent.com/marcelo-pascoal/Semaforos/refs/heads/main/fotosD/DSCF8041.JPG</v>
      </c>
      <c r="AD292" s="3" t="str">
        <f>_xlfn.CONCAT("https://raw.githubusercontent.com/marcelo-pascoal/Semaforos/refs/heads/main/fotos/",Tabela1[[#This Row],[id_0]],".jpg")</f>
        <v>https://raw.githubusercontent.com/marcelo-pascoal/Semaforos/refs/heads/main/fotos/495.jpg</v>
      </c>
      <c r="AE292" s="3" t="str">
        <f>_xlfn.CONCAT("https://raw.githubusercontent.com/marcelo-pascoal/Semaforos/refs/heads/main/fotosD/",Tabela1[[#This Row],[id_0]],".jpg")</f>
        <v>https://raw.githubusercontent.com/marcelo-pascoal/Semaforos/refs/heads/main/fotosD/495.jpg</v>
      </c>
      <c r="AF292" s="3">
        <v>5</v>
      </c>
    </row>
    <row r="293" spans="1:32" ht="250" customHeight="1" x14ac:dyDescent="0.35">
      <c r="A293" s="2" t="s">
        <v>1010</v>
      </c>
      <c r="B293" s="5">
        <v>566</v>
      </c>
      <c r="C293" s="2" t="s">
        <v>1011</v>
      </c>
      <c r="D293" s="1" t="s">
        <v>60</v>
      </c>
      <c r="G293" s="1" t="s">
        <v>1145</v>
      </c>
      <c r="H293" s="1" t="s">
        <v>1146</v>
      </c>
      <c r="I293" s="1" t="s">
        <v>1012</v>
      </c>
      <c r="J293" s="2" t="s">
        <v>215</v>
      </c>
      <c r="K293" s="2" t="s">
        <v>34</v>
      </c>
      <c r="L293" s="3">
        <v>1</v>
      </c>
      <c r="M293" s="3"/>
      <c r="N293" s="3"/>
      <c r="O293" s="3">
        <v>1</v>
      </c>
      <c r="P293" s="3">
        <v>2</v>
      </c>
      <c r="Q293" s="3">
        <v>2</v>
      </c>
      <c r="R293" s="3"/>
      <c r="S293" s="3"/>
      <c r="T293" s="3"/>
      <c r="U293" s="3"/>
      <c r="V293" s="3"/>
      <c r="W293" s="3"/>
      <c r="X293" s="3" t="s">
        <v>40</v>
      </c>
      <c r="Y293" s="3" t="s">
        <v>40</v>
      </c>
      <c r="Z293" s="3"/>
      <c r="AA293" s="3" t="s">
        <v>35</v>
      </c>
      <c r="AB293" s="6" t="str">
        <f>HYPERLINK(_xlfn.CONCAT("https://www.google.com/maps/search/",Tabela1[[#This Row],[GPS]]),"##")</f>
        <v>##</v>
      </c>
      <c r="AC293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3" s="3" t="str">
        <f>_xlfn.CONCAT("https://raw.githubusercontent.com/marcelo-pascoal/Semaforos/refs/heads/main/fotos/",Tabela1[[#This Row],[id_0]],".jpg")</f>
        <v>https://raw.githubusercontent.com/marcelo-pascoal/Semaforos/refs/heads/main/fotos/566.jpg</v>
      </c>
      <c r="AE293" s="3" t="str">
        <f>_xlfn.CONCAT("https://raw.githubusercontent.com/marcelo-pascoal/Semaforos/refs/heads/main/fotosD/",Tabela1[[#This Row],[id_0]],".jpg")</f>
        <v>https://raw.githubusercontent.com/marcelo-pascoal/Semaforos/refs/heads/main/fotosD/566.jpg</v>
      </c>
      <c r="AF293" s="3">
        <v>2</v>
      </c>
    </row>
    <row r="294" spans="1:32" ht="250" customHeight="1" x14ac:dyDescent="0.35">
      <c r="A294" s="2" t="s">
        <v>1010</v>
      </c>
      <c r="B294" s="5">
        <v>567</v>
      </c>
      <c r="C294" s="2" t="s">
        <v>1013</v>
      </c>
      <c r="D294" s="1" t="s">
        <v>31</v>
      </c>
      <c r="G294" s="1" t="s">
        <v>1144</v>
      </c>
      <c r="H294" s="1" t="s">
        <v>31</v>
      </c>
      <c r="I294" s="1" t="s">
        <v>1014</v>
      </c>
      <c r="J294" s="2" t="s">
        <v>215</v>
      </c>
      <c r="K294" s="2" t="s">
        <v>34</v>
      </c>
      <c r="L294" s="3"/>
      <c r="M294" s="3">
        <v>2</v>
      </c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 t="s">
        <v>233</v>
      </c>
      <c r="AB294" s="6" t="str">
        <f>HYPERLINK(_xlfn.CONCAT("https://www.google.com/maps/search/",Tabela1[[#This Row],[GPS]]),"##")</f>
        <v>##</v>
      </c>
      <c r="AC294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4" s="3" t="str">
        <f>_xlfn.CONCAT("https://raw.githubusercontent.com/marcelo-pascoal/Semaforos/refs/heads/main/fotos/",Tabela1[[#This Row],[id_0]],".jpg")</f>
        <v>https://raw.githubusercontent.com/marcelo-pascoal/Semaforos/refs/heads/main/fotos/567.jpg</v>
      </c>
      <c r="AE294" s="3" t="str">
        <f>_xlfn.CONCAT("https://raw.githubusercontent.com/marcelo-pascoal/Semaforos/refs/heads/main/fotosD/",Tabela1[[#This Row],[id_0]],".jpg")</f>
        <v>https://raw.githubusercontent.com/marcelo-pascoal/Semaforos/refs/heads/main/fotosD/567.jpg</v>
      </c>
      <c r="AF294" s="3">
        <v>2</v>
      </c>
    </row>
    <row r="295" spans="1:32" ht="250" customHeight="1" x14ac:dyDescent="0.35">
      <c r="A295" s="2" t="s">
        <v>1015</v>
      </c>
      <c r="B295" s="5">
        <v>568</v>
      </c>
      <c r="C295" s="2" t="s">
        <v>1016</v>
      </c>
      <c r="D295" s="1" t="s">
        <v>60</v>
      </c>
      <c r="G295" s="1" t="s">
        <v>1145</v>
      </c>
      <c r="H295" s="1" t="s">
        <v>1146</v>
      </c>
      <c r="I295" s="1" t="s">
        <v>1017</v>
      </c>
      <c r="J295" s="2" t="s">
        <v>563</v>
      </c>
      <c r="K295" s="2" t="s">
        <v>715</v>
      </c>
      <c r="L295" s="3">
        <v>1</v>
      </c>
      <c r="M295" s="3"/>
      <c r="N295" s="3"/>
      <c r="O295" s="3">
        <v>1</v>
      </c>
      <c r="P295" s="3">
        <v>2</v>
      </c>
      <c r="Q295" s="3">
        <v>2</v>
      </c>
      <c r="R295" s="3"/>
      <c r="S295" s="3"/>
      <c r="T295" s="3"/>
      <c r="U295" s="3"/>
      <c r="V295" s="3"/>
      <c r="W295" s="3"/>
      <c r="X295" s="3"/>
      <c r="Y295" s="3" t="s">
        <v>40</v>
      </c>
      <c r="Z295" s="3"/>
      <c r="AA295" s="3" t="s">
        <v>233</v>
      </c>
      <c r="AB295" s="6" t="str">
        <f>HYPERLINK(_xlfn.CONCAT("https://www.google.com/maps/search/",Tabela1[[#This Row],[GPS]]),"##")</f>
        <v>##</v>
      </c>
      <c r="AC295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5" s="3" t="str">
        <f>_xlfn.CONCAT("https://raw.githubusercontent.com/marcelo-pascoal/Semaforos/refs/heads/main/fotos/",Tabela1[[#This Row],[id_0]],".jpg")</f>
        <v>https://raw.githubusercontent.com/marcelo-pascoal/Semaforos/refs/heads/main/fotos/568.jpg</v>
      </c>
      <c r="AE295" s="3" t="str">
        <f>_xlfn.CONCAT("https://raw.githubusercontent.com/marcelo-pascoal/Semaforos/refs/heads/main/fotosD/",Tabela1[[#This Row],[id_0]],".jpg")</f>
        <v>https://raw.githubusercontent.com/marcelo-pascoal/Semaforos/refs/heads/main/fotosD/568.jpg</v>
      </c>
      <c r="AF295" s="3">
        <v>1</v>
      </c>
    </row>
    <row r="296" spans="1:32" ht="250" customHeight="1" x14ac:dyDescent="0.35">
      <c r="A296" s="2" t="s">
        <v>1015</v>
      </c>
      <c r="B296" s="5">
        <v>569</v>
      </c>
      <c r="C296" s="2" t="s">
        <v>1018</v>
      </c>
      <c r="D296" s="1" t="s">
        <v>31</v>
      </c>
      <c r="G296" s="1" t="s">
        <v>1144</v>
      </c>
      <c r="H296" s="1" t="s">
        <v>31</v>
      </c>
      <c r="I296" s="1" t="s">
        <v>1019</v>
      </c>
      <c r="J296" s="2" t="s">
        <v>563</v>
      </c>
      <c r="K296" s="2" t="s">
        <v>715</v>
      </c>
      <c r="L296" s="3"/>
      <c r="M296" s="3">
        <v>2</v>
      </c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 t="s">
        <v>233</v>
      </c>
      <c r="AB296" s="6" t="str">
        <f>HYPERLINK(_xlfn.CONCAT("https://www.google.com/maps/search/",Tabela1[[#This Row],[GPS]]),"##")</f>
        <v>##</v>
      </c>
      <c r="AC296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6" s="3" t="str">
        <f>_xlfn.CONCAT("https://raw.githubusercontent.com/marcelo-pascoal/Semaforos/refs/heads/main/fotos/",Tabela1[[#This Row],[id_0]],".jpg")</f>
        <v>https://raw.githubusercontent.com/marcelo-pascoal/Semaforos/refs/heads/main/fotos/569.jpg</v>
      </c>
      <c r="AE296" s="3" t="str">
        <f>_xlfn.CONCAT("https://raw.githubusercontent.com/marcelo-pascoal/Semaforos/refs/heads/main/fotosD/",Tabela1[[#This Row],[id_0]],".jpg")</f>
        <v>https://raw.githubusercontent.com/marcelo-pascoal/Semaforos/refs/heads/main/fotosD/569.jpg</v>
      </c>
      <c r="AF296" s="3">
        <v>5</v>
      </c>
    </row>
    <row r="297" spans="1:32" ht="250" customHeight="1" x14ac:dyDescent="0.35">
      <c r="A297" s="2" t="s">
        <v>1020</v>
      </c>
      <c r="B297" s="5">
        <v>570</v>
      </c>
      <c r="C297" s="2" t="s">
        <v>1021</v>
      </c>
      <c r="D297" s="1" t="s">
        <v>60</v>
      </c>
      <c r="G297" s="1" t="s">
        <v>1145</v>
      </c>
      <c r="H297" s="1" t="s">
        <v>1146</v>
      </c>
      <c r="I297" s="1" t="s">
        <v>1022</v>
      </c>
      <c r="J297" s="2" t="s">
        <v>563</v>
      </c>
      <c r="K297" s="2" t="s">
        <v>715</v>
      </c>
      <c r="L297" s="3">
        <v>1</v>
      </c>
      <c r="M297" s="3"/>
      <c r="N297" s="3"/>
      <c r="O297" s="3">
        <v>1</v>
      </c>
      <c r="P297" s="3">
        <v>2</v>
      </c>
      <c r="Q297" s="3">
        <v>2</v>
      </c>
      <c r="R297" s="3"/>
      <c r="S297" s="3"/>
      <c r="T297" s="3"/>
      <c r="U297" s="3"/>
      <c r="V297" s="3"/>
      <c r="W297" s="3"/>
      <c r="X297" s="3"/>
      <c r="Y297" s="3" t="s">
        <v>40</v>
      </c>
      <c r="Z297" s="3"/>
      <c r="AA297" s="3" t="s">
        <v>233</v>
      </c>
      <c r="AB297" s="6" t="str">
        <f>HYPERLINK(_xlfn.CONCAT("https://www.google.com/maps/search/",Tabela1[[#This Row],[GPS]]),"##")</f>
        <v>##</v>
      </c>
      <c r="AC297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7" s="3" t="str">
        <f>_xlfn.CONCAT("https://raw.githubusercontent.com/marcelo-pascoal/Semaforos/refs/heads/main/fotos/",Tabela1[[#This Row],[id_0]],".jpg")</f>
        <v>https://raw.githubusercontent.com/marcelo-pascoal/Semaforos/refs/heads/main/fotos/570.jpg</v>
      </c>
      <c r="AE297" s="3" t="str">
        <f>_xlfn.CONCAT("https://raw.githubusercontent.com/marcelo-pascoal/Semaforos/refs/heads/main/fotosD/",Tabela1[[#This Row],[id_0]],".jpg")</f>
        <v>https://raw.githubusercontent.com/marcelo-pascoal/Semaforos/refs/heads/main/fotosD/570.jpg</v>
      </c>
      <c r="AF297" s="3">
        <v>5</v>
      </c>
    </row>
    <row r="298" spans="1:32" ht="250" customHeight="1" x14ac:dyDescent="0.35">
      <c r="A298" s="2" t="s">
        <v>1020</v>
      </c>
      <c r="B298" s="5">
        <v>571</v>
      </c>
      <c r="C298" s="2" t="s">
        <v>1023</v>
      </c>
      <c r="D298" s="1" t="s">
        <v>31</v>
      </c>
      <c r="G298" s="1" t="s">
        <v>1144</v>
      </c>
      <c r="H298" s="1" t="s">
        <v>31</v>
      </c>
      <c r="I298" s="1" t="s">
        <v>1024</v>
      </c>
      <c r="J298" s="2" t="s">
        <v>563</v>
      </c>
      <c r="K298" s="2" t="s">
        <v>715</v>
      </c>
      <c r="L298" s="3"/>
      <c r="M298" s="3">
        <v>2</v>
      </c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 t="s">
        <v>233</v>
      </c>
      <c r="AB298" s="6" t="str">
        <f>HYPERLINK(_xlfn.CONCAT("https://www.google.com/maps/search/",Tabela1[[#This Row],[GPS]]),"##")</f>
        <v>##</v>
      </c>
      <c r="AC298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8" s="3" t="str">
        <f>_xlfn.CONCAT("https://raw.githubusercontent.com/marcelo-pascoal/Semaforos/refs/heads/main/fotos/",Tabela1[[#This Row],[id_0]],".jpg")</f>
        <v>https://raw.githubusercontent.com/marcelo-pascoal/Semaforos/refs/heads/main/fotos/571.jpg</v>
      </c>
      <c r="AE298" s="3" t="str">
        <f>_xlfn.CONCAT("https://raw.githubusercontent.com/marcelo-pascoal/Semaforos/refs/heads/main/fotosD/",Tabela1[[#This Row],[id_0]],".jpg")</f>
        <v>https://raw.githubusercontent.com/marcelo-pascoal/Semaforos/refs/heads/main/fotosD/571.jpg</v>
      </c>
      <c r="AF298" s="3">
        <v>1</v>
      </c>
    </row>
    <row r="299" spans="1:32" ht="250" customHeight="1" x14ac:dyDescent="0.35">
      <c r="A299" s="2" t="s">
        <v>1025</v>
      </c>
      <c r="B299" s="5">
        <v>572</v>
      </c>
      <c r="C299" s="2" t="s">
        <v>1026</v>
      </c>
      <c r="D299" s="1" t="s">
        <v>31</v>
      </c>
      <c r="G299" s="1" t="s">
        <v>1144</v>
      </c>
      <c r="H299" s="1" t="s">
        <v>31</v>
      </c>
      <c r="I299" s="1" t="s">
        <v>1027</v>
      </c>
      <c r="J299" s="2" t="s">
        <v>1028</v>
      </c>
      <c r="K299" s="2" t="s">
        <v>1029</v>
      </c>
      <c r="L299" s="3"/>
      <c r="M299" s="3">
        <v>2</v>
      </c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 t="s">
        <v>233</v>
      </c>
      <c r="AB299" s="6" t="str">
        <f>HYPERLINK(_xlfn.CONCAT("https://www.google.com/maps/search/",Tabela1[[#This Row],[GPS]]),"##")</f>
        <v>##</v>
      </c>
      <c r="AC299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299" s="3" t="str">
        <f>_xlfn.CONCAT("https://raw.githubusercontent.com/marcelo-pascoal/Semaforos/refs/heads/main/fotos/",Tabela1[[#This Row],[id_0]],".jpg")</f>
        <v>https://raw.githubusercontent.com/marcelo-pascoal/Semaforos/refs/heads/main/fotos/572.jpg</v>
      </c>
      <c r="AE299" s="3" t="str">
        <f>_xlfn.CONCAT("https://raw.githubusercontent.com/marcelo-pascoal/Semaforos/refs/heads/main/fotosD/",Tabela1[[#This Row],[id_0]],".jpg")</f>
        <v>https://raw.githubusercontent.com/marcelo-pascoal/Semaforos/refs/heads/main/fotosD/572.jpg</v>
      </c>
      <c r="AF299" s="3">
        <v>1</v>
      </c>
    </row>
    <row r="300" spans="1:32" ht="250" customHeight="1" x14ac:dyDescent="0.35">
      <c r="A300" s="2" t="s">
        <v>1025</v>
      </c>
      <c r="B300" s="5">
        <v>573</v>
      </c>
      <c r="C300" s="2" t="s">
        <v>1030</v>
      </c>
      <c r="D300" s="1" t="s">
        <v>60</v>
      </c>
      <c r="G300" s="1" t="s">
        <v>1145</v>
      </c>
      <c r="H300" s="1" t="s">
        <v>1146</v>
      </c>
      <c r="I300" s="1" t="s">
        <v>1031</v>
      </c>
      <c r="J300" s="2" t="s">
        <v>1028</v>
      </c>
      <c r="K300" s="2" t="s">
        <v>1029</v>
      </c>
      <c r="L300" s="3">
        <v>1</v>
      </c>
      <c r="M300" s="3"/>
      <c r="N300" s="3"/>
      <c r="O300" s="3">
        <v>1</v>
      </c>
      <c r="P300" s="3">
        <v>2</v>
      </c>
      <c r="Q300" s="3">
        <v>2</v>
      </c>
      <c r="R300" s="3"/>
      <c r="S300" s="3"/>
      <c r="T300" s="3"/>
      <c r="U300" s="3"/>
      <c r="V300" s="3"/>
      <c r="W300" s="3"/>
      <c r="X300" s="3"/>
      <c r="Y300" s="3" t="s">
        <v>40</v>
      </c>
      <c r="Z300" s="3"/>
      <c r="AA300" s="3" t="s">
        <v>233</v>
      </c>
      <c r="AB300" s="6" t="str">
        <f>HYPERLINK(_xlfn.CONCAT("https://www.google.com/maps/search/",Tabela1[[#This Row],[GPS]]),"##")</f>
        <v>##</v>
      </c>
      <c r="AC300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0" s="3" t="str">
        <f>_xlfn.CONCAT("https://raw.githubusercontent.com/marcelo-pascoal/Semaforos/refs/heads/main/fotos/",Tabela1[[#This Row],[id_0]],".jpg")</f>
        <v>https://raw.githubusercontent.com/marcelo-pascoal/Semaforos/refs/heads/main/fotos/573.jpg</v>
      </c>
      <c r="AE300" s="3" t="str">
        <f>_xlfn.CONCAT("https://raw.githubusercontent.com/marcelo-pascoal/Semaforos/refs/heads/main/fotosD/",Tabela1[[#This Row],[id_0]],".jpg")</f>
        <v>https://raw.githubusercontent.com/marcelo-pascoal/Semaforos/refs/heads/main/fotosD/573.jpg</v>
      </c>
      <c r="AF300" s="3">
        <v>1</v>
      </c>
    </row>
    <row r="301" spans="1:32" ht="250" customHeight="1" x14ac:dyDescent="0.35">
      <c r="A301" s="2" t="s">
        <v>1032</v>
      </c>
      <c r="B301" s="5">
        <v>574</v>
      </c>
      <c r="C301" s="2" t="s">
        <v>1033</v>
      </c>
      <c r="D301" s="1" t="s">
        <v>60</v>
      </c>
      <c r="G301" s="1" t="s">
        <v>1145</v>
      </c>
      <c r="H301" s="1" t="s">
        <v>1146</v>
      </c>
      <c r="I301" s="1" t="s">
        <v>1034</v>
      </c>
      <c r="J301" s="2" t="s">
        <v>1028</v>
      </c>
      <c r="K301" s="2" t="s">
        <v>1035</v>
      </c>
      <c r="L301" s="3">
        <v>2</v>
      </c>
      <c r="M301" s="3"/>
      <c r="N301" s="3"/>
      <c r="O301" s="3">
        <v>1</v>
      </c>
      <c r="P301" s="3">
        <v>3</v>
      </c>
      <c r="Q301" s="3">
        <v>3</v>
      </c>
      <c r="R301" s="3"/>
      <c r="S301" s="3"/>
      <c r="T301" s="3"/>
      <c r="U301" s="3"/>
      <c r="V301" s="3"/>
      <c r="W301" s="3"/>
      <c r="X301" s="3"/>
      <c r="Y301" s="3" t="s">
        <v>40</v>
      </c>
      <c r="Z301" s="3"/>
      <c r="AA301" s="3" t="s">
        <v>233</v>
      </c>
      <c r="AB301" s="6" t="str">
        <f>HYPERLINK(_xlfn.CONCAT("https://www.google.com/maps/search/",Tabela1[[#This Row],[GPS]]),"##")</f>
        <v>##</v>
      </c>
      <c r="AC301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1" s="3" t="str">
        <f>_xlfn.CONCAT("https://raw.githubusercontent.com/marcelo-pascoal/Semaforos/refs/heads/main/fotos/",Tabela1[[#This Row],[id_0]],".jpg")</f>
        <v>https://raw.githubusercontent.com/marcelo-pascoal/Semaforos/refs/heads/main/fotos/574.jpg</v>
      </c>
      <c r="AE301" s="3" t="str">
        <f>_xlfn.CONCAT("https://raw.githubusercontent.com/marcelo-pascoal/Semaforos/refs/heads/main/fotosD/",Tabela1[[#This Row],[id_0]],".jpg")</f>
        <v>https://raw.githubusercontent.com/marcelo-pascoal/Semaforos/refs/heads/main/fotosD/574.jpg</v>
      </c>
      <c r="AF301" s="3">
        <v>1</v>
      </c>
    </row>
    <row r="302" spans="1:32" ht="250" customHeight="1" x14ac:dyDescent="0.35">
      <c r="A302" s="2" t="s">
        <v>1032</v>
      </c>
      <c r="B302" s="5">
        <v>575</v>
      </c>
      <c r="C302" s="2" t="s">
        <v>1036</v>
      </c>
      <c r="D302" s="1" t="s">
        <v>38</v>
      </c>
      <c r="G302" s="1" t="s">
        <v>1144</v>
      </c>
      <c r="H302" s="1" t="s">
        <v>1146</v>
      </c>
      <c r="I302" s="1" t="s">
        <v>1037</v>
      </c>
      <c r="J302" s="2" t="s">
        <v>1028</v>
      </c>
      <c r="K302" s="2" t="s">
        <v>1035</v>
      </c>
      <c r="L302" s="3"/>
      <c r="M302" s="3"/>
      <c r="N302" s="3"/>
      <c r="O302" s="3">
        <v>1</v>
      </c>
      <c r="P302" s="3">
        <v>1</v>
      </c>
      <c r="Q302" s="3">
        <v>1</v>
      </c>
      <c r="R302" s="3"/>
      <c r="S302" s="3"/>
      <c r="T302" s="3"/>
      <c r="U302" s="3"/>
      <c r="V302" s="3"/>
      <c r="W302" s="3"/>
      <c r="X302" s="3"/>
      <c r="Y302" s="3"/>
      <c r="Z302" s="3"/>
      <c r="AA302" s="3" t="s">
        <v>35</v>
      </c>
      <c r="AB302" s="6" t="str">
        <f>HYPERLINK(_xlfn.CONCAT("https://www.google.com/maps/search/",Tabela1[[#This Row],[GPS]]),"##")</f>
        <v>##</v>
      </c>
      <c r="AC302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2" s="3" t="str">
        <f>_xlfn.CONCAT("https://raw.githubusercontent.com/marcelo-pascoal/Semaforos/refs/heads/main/fotos/",Tabela1[[#This Row],[id_0]],".jpg")</f>
        <v>https://raw.githubusercontent.com/marcelo-pascoal/Semaforos/refs/heads/main/fotos/575.jpg</v>
      </c>
      <c r="AE302" s="3" t="str">
        <f>_xlfn.CONCAT("https://raw.githubusercontent.com/marcelo-pascoal/Semaforos/refs/heads/main/fotosD/",Tabela1[[#This Row],[id_0]],".jpg")</f>
        <v>https://raw.githubusercontent.com/marcelo-pascoal/Semaforos/refs/heads/main/fotosD/575.jpg</v>
      </c>
      <c r="AF302" s="3">
        <v>1</v>
      </c>
    </row>
    <row r="303" spans="1:32" ht="250" customHeight="1" x14ac:dyDescent="0.35">
      <c r="A303" s="2" t="s">
        <v>1038</v>
      </c>
      <c r="B303" s="5">
        <v>576</v>
      </c>
      <c r="C303" s="2" t="s">
        <v>1039</v>
      </c>
      <c r="D303" s="1" t="s">
        <v>31</v>
      </c>
      <c r="G303" s="1" t="s">
        <v>1144</v>
      </c>
      <c r="H303" s="1" t="s">
        <v>31</v>
      </c>
      <c r="I303" s="1" t="s">
        <v>1151</v>
      </c>
      <c r="J303" s="2" t="s">
        <v>1028</v>
      </c>
      <c r="K303" s="2" t="s">
        <v>1035</v>
      </c>
      <c r="L303" s="3"/>
      <c r="M303" s="3">
        <v>2</v>
      </c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 t="s">
        <v>233</v>
      </c>
      <c r="AB303" s="6" t="str">
        <f>HYPERLINK(_xlfn.CONCAT("https://www.google.com/maps/search/",Tabela1[[#This Row],[GPS]]),"##")</f>
        <v>##</v>
      </c>
      <c r="AC303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3" s="3" t="str">
        <f>_xlfn.CONCAT("https://raw.githubusercontent.com/marcelo-pascoal/Semaforos/refs/heads/main/fotos/",Tabela1[[#This Row],[id_0]],".jpg")</f>
        <v>https://raw.githubusercontent.com/marcelo-pascoal/Semaforos/refs/heads/main/fotos/576.jpg</v>
      </c>
      <c r="AE303" s="3" t="str">
        <f>_xlfn.CONCAT("https://raw.githubusercontent.com/marcelo-pascoal/Semaforos/refs/heads/main/fotosD/",Tabela1[[#This Row],[id_0]],".jpg")</f>
        <v>https://raw.githubusercontent.com/marcelo-pascoal/Semaforos/refs/heads/main/fotosD/576.jpg</v>
      </c>
      <c r="AF303" s="3">
        <v>1</v>
      </c>
    </row>
    <row r="304" spans="1:32" ht="250" customHeight="1" x14ac:dyDescent="0.35">
      <c r="A304" s="2" t="s">
        <v>1038</v>
      </c>
      <c r="B304" s="5">
        <v>577</v>
      </c>
      <c r="C304" s="2" t="s">
        <v>1040</v>
      </c>
      <c r="D304" s="1" t="s">
        <v>60</v>
      </c>
      <c r="G304" s="1" t="s">
        <v>1145</v>
      </c>
      <c r="H304" s="1" t="s">
        <v>1146</v>
      </c>
      <c r="I304" s="1" t="s">
        <v>1041</v>
      </c>
      <c r="J304" s="2" t="s">
        <v>1028</v>
      </c>
      <c r="K304" s="2" t="s">
        <v>1035</v>
      </c>
      <c r="L304" s="3">
        <v>1</v>
      </c>
      <c r="M304" s="3"/>
      <c r="N304" s="3"/>
      <c r="O304" s="3">
        <v>1</v>
      </c>
      <c r="P304" s="3">
        <v>2</v>
      </c>
      <c r="Q304" s="3">
        <v>2</v>
      </c>
      <c r="R304" s="3"/>
      <c r="S304" s="3"/>
      <c r="T304" s="3"/>
      <c r="U304" s="3"/>
      <c r="V304" s="3"/>
      <c r="W304" s="3"/>
      <c r="X304" s="3"/>
      <c r="Y304" s="3" t="s">
        <v>40</v>
      </c>
      <c r="Z304" s="3"/>
      <c r="AA304" s="3" t="s">
        <v>233</v>
      </c>
      <c r="AB304" s="6" t="str">
        <f>HYPERLINK(_xlfn.CONCAT("https://www.google.com/maps/search/",Tabela1[[#This Row],[GPS]]),"##")</f>
        <v>##</v>
      </c>
      <c r="AC304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4" s="3" t="str">
        <f>_xlfn.CONCAT("https://raw.githubusercontent.com/marcelo-pascoal/Semaforos/refs/heads/main/fotos/",Tabela1[[#This Row],[id_0]],".jpg")</f>
        <v>https://raw.githubusercontent.com/marcelo-pascoal/Semaforos/refs/heads/main/fotos/577.jpg</v>
      </c>
      <c r="AE304" s="3" t="str">
        <f>_xlfn.CONCAT("https://raw.githubusercontent.com/marcelo-pascoal/Semaforos/refs/heads/main/fotosD/",Tabela1[[#This Row],[id_0]],".jpg")</f>
        <v>https://raw.githubusercontent.com/marcelo-pascoal/Semaforos/refs/heads/main/fotosD/577.jpg</v>
      </c>
      <c r="AF304" s="3">
        <v>1</v>
      </c>
    </row>
    <row r="305" spans="1:32" ht="250" customHeight="1" x14ac:dyDescent="0.35">
      <c r="A305" s="2" t="s">
        <v>1042</v>
      </c>
      <c r="B305" s="5">
        <v>578</v>
      </c>
      <c r="C305" s="2" t="s">
        <v>1043</v>
      </c>
      <c r="D305" s="1" t="s">
        <v>1044</v>
      </c>
      <c r="G305" s="1" t="s">
        <v>1144</v>
      </c>
      <c r="H305" s="1" t="s">
        <v>1044</v>
      </c>
      <c r="I305" s="1" t="s">
        <v>1045</v>
      </c>
      <c r="J305" s="2" t="s">
        <v>1046</v>
      </c>
      <c r="K305" s="2" t="s">
        <v>34</v>
      </c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 t="s">
        <v>40</v>
      </c>
      <c r="Z305" s="3"/>
      <c r="AA305" s="3" t="s">
        <v>233</v>
      </c>
      <c r="AB305" s="6" t="str">
        <f>HYPERLINK(_xlfn.CONCAT("https://www.google.com/maps/search/",Tabela1[[#This Row],[GPS]]),"##")</f>
        <v>##</v>
      </c>
      <c r="AC305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5" s="3" t="str">
        <f>_xlfn.CONCAT("https://raw.githubusercontent.com/marcelo-pascoal/Semaforos/refs/heads/main/fotos/",Tabela1[[#This Row],[id_0]],".jpg")</f>
        <v>https://raw.githubusercontent.com/marcelo-pascoal/Semaforos/refs/heads/main/fotos/578.jpg</v>
      </c>
      <c r="AE305" s="3" t="str">
        <f>_xlfn.CONCAT("https://raw.githubusercontent.com/marcelo-pascoal/Semaforos/refs/heads/main/fotosD/",Tabela1[[#This Row],[id_0]],".jpg")</f>
        <v>https://raw.githubusercontent.com/marcelo-pascoal/Semaforos/refs/heads/main/fotosD/578.jpg</v>
      </c>
      <c r="AF305" s="3">
        <v>5</v>
      </c>
    </row>
    <row r="306" spans="1:32" ht="250" customHeight="1" x14ac:dyDescent="0.35">
      <c r="A306" s="2" t="s">
        <v>1047</v>
      </c>
      <c r="B306" s="5">
        <v>579</v>
      </c>
      <c r="C306" s="2" t="s">
        <v>1048</v>
      </c>
      <c r="D306" s="1" t="s">
        <v>1044</v>
      </c>
      <c r="G306" s="1" t="s">
        <v>1144</v>
      </c>
      <c r="H306" s="1" t="s">
        <v>1044</v>
      </c>
      <c r="I306" s="1" t="s">
        <v>1049</v>
      </c>
      <c r="J306" s="2" t="s">
        <v>1028</v>
      </c>
      <c r="K306" s="2" t="s">
        <v>34</v>
      </c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 t="s">
        <v>40</v>
      </c>
      <c r="Z306" s="3"/>
      <c r="AA306" s="3" t="s">
        <v>233</v>
      </c>
      <c r="AB306" s="6" t="str">
        <f>HYPERLINK(_xlfn.CONCAT("https://www.google.com/maps/search/",Tabela1[[#This Row],[GPS]]),"##")</f>
        <v>##</v>
      </c>
      <c r="AC306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6" s="3" t="str">
        <f>_xlfn.CONCAT("https://raw.githubusercontent.com/marcelo-pascoal/Semaforos/refs/heads/main/fotos/",Tabela1[[#This Row],[id_0]],".jpg")</f>
        <v>https://raw.githubusercontent.com/marcelo-pascoal/Semaforos/refs/heads/main/fotos/579.jpg</v>
      </c>
      <c r="AE306" s="3" t="str">
        <f>_xlfn.CONCAT("https://raw.githubusercontent.com/marcelo-pascoal/Semaforos/refs/heads/main/fotosD/",Tabela1[[#This Row],[id_0]],".jpg")</f>
        <v>https://raw.githubusercontent.com/marcelo-pascoal/Semaforos/refs/heads/main/fotosD/579.jpg</v>
      </c>
      <c r="AF306" s="3">
        <v>5</v>
      </c>
    </row>
    <row r="307" spans="1:32" ht="250" customHeight="1" x14ac:dyDescent="0.35">
      <c r="A307" s="2" t="s">
        <v>1050</v>
      </c>
      <c r="B307" s="5">
        <v>580</v>
      </c>
      <c r="C307" s="2" t="s">
        <v>1051</v>
      </c>
      <c r="D307" s="1" t="s">
        <v>60</v>
      </c>
      <c r="G307" s="1" t="s">
        <v>1145</v>
      </c>
      <c r="H307" s="1" t="s">
        <v>1146</v>
      </c>
      <c r="I307" s="1" t="s">
        <v>1052</v>
      </c>
      <c r="J307" s="2" t="s">
        <v>584</v>
      </c>
      <c r="K307" s="2" t="s">
        <v>529</v>
      </c>
      <c r="L307" s="3">
        <v>1</v>
      </c>
      <c r="M307" s="3"/>
      <c r="N307" s="3"/>
      <c r="O307" s="3">
        <v>1</v>
      </c>
      <c r="P307" s="3">
        <v>2</v>
      </c>
      <c r="Q307" s="3">
        <v>2</v>
      </c>
      <c r="R307" s="3"/>
      <c r="S307" s="3"/>
      <c r="T307" s="3"/>
      <c r="U307" s="3"/>
      <c r="V307" s="3"/>
      <c r="W307" s="3"/>
      <c r="X307" s="3"/>
      <c r="Y307" s="3" t="s">
        <v>40</v>
      </c>
      <c r="Z307" s="3"/>
      <c r="AA307" s="3" t="s">
        <v>233</v>
      </c>
      <c r="AB307" s="6" t="str">
        <f>HYPERLINK(_xlfn.CONCAT("https://www.google.com/maps/search/",Tabela1[[#This Row],[GPS]]),"##")</f>
        <v>##</v>
      </c>
      <c r="AC307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7" s="3" t="str">
        <f>_xlfn.CONCAT("https://raw.githubusercontent.com/marcelo-pascoal/Semaforos/refs/heads/main/fotos/",Tabela1[[#This Row],[id_0]],".jpg")</f>
        <v>https://raw.githubusercontent.com/marcelo-pascoal/Semaforos/refs/heads/main/fotos/580.jpg</v>
      </c>
      <c r="AE307" s="3" t="str">
        <f>_xlfn.CONCAT("https://raw.githubusercontent.com/marcelo-pascoal/Semaforos/refs/heads/main/fotosD/",Tabela1[[#This Row],[id_0]],".jpg")</f>
        <v>https://raw.githubusercontent.com/marcelo-pascoal/Semaforos/refs/heads/main/fotosD/580.jpg</v>
      </c>
      <c r="AF307" s="3">
        <v>3</v>
      </c>
    </row>
    <row r="308" spans="1:32" ht="250" customHeight="1" x14ac:dyDescent="0.35">
      <c r="A308" s="2" t="s">
        <v>1050</v>
      </c>
      <c r="B308" s="5">
        <v>581</v>
      </c>
      <c r="C308" s="2" t="s">
        <v>1053</v>
      </c>
      <c r="D308" s="1" t="s">
        <v>31</v>
      </c>
      <c r="G308" s="1" t="s">
        <v>1144</v>
      </c>
      <c r="H308" s="1" t="s">
        <v>31</v>
      </c>
      <c r="I308" s="1" t="s">
        <v>1054</v>
      </c>
      <c r="J308" s="2" t="s">
        <v>584</v>
      </c>
      <c r="K308" s="2" t="s">
        <v>529</v>
      </c>
      <c r="L308" s="3"/>
      <c r="M308" s="3">
        <v>2</v>
      </c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 t="s">
        <v>233</v>
      </c>
      <c r="AB308" s="6" t="str">
        <f>HYPERLINK(_xlfn.CONCAT("https://www.google.com/maps/search/",Tabela1[[#This Row],[GPS]]),"##")</f>
        <v>##</v>
      </c>
      <c r="AC308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8" s="3" t="str">
        <f>_xlfn.CONCAT("https://raw.githubusercontent.com/marcelo-pascoal/Semaforos/refs/heads/main/fotos/",Tabela1[[#This Row],[id_0]],".jpg")</f>
        <v>https://raw.githubusercontent.com/marcelo-pascoal/Semaforos/refs/heads/main/fotos/581.jpg</v>
      </c>
      <c r="AE308" s="3" t="str">
        <f>_xlfn.CONCAT("https://raw.githubusercontent.com/marcelo-pascoal/Semaforos/refs/heads/main/fotosD/",Tabela1[[#This Row],[id_0]],".jpg")</f>
        <v>https://raw.githubusercontent.com/marcelo-pascoal/Semaforos/refs/heads/main/fotosD/581.jpg</v>
      </c>
      <c r="AF308" s="3">
        <v>1</v>
      </c>
    </row>
    <row r="309" spans="1:32" ht="250" customHeight="1" x14ac:dyDescent="0.35">
      <c r="A309" s="2" t="s">
        <v>1055</v>
      </c>
      <c r="B309" s="5">
        <v>582</v>
      </c>
      <c r="C309" s="2" t="s">
        <v>1056</v>
      </c>
      <c r="D309" s="1" t="s">
        <v>60</v>
      </c>
      <c r="G309" s="1" t="s">
        <v>1145</v>
      </c>
      <c r="H309" s="1" t="s">
        <v>1146</v>
      </c>
      <c r="I309" s="1" t="s">
        <v>1057</v>
      </c>
      <c r="J309" s="2" t="s">
        <v>584</v>
      </c>
      <c r="K309" s="2" t="s">
        <v>529</v>
      </c>
      <c r="L309" s="3">
        <v>1</v>
      </c>
      <c r="M309" s="3"/>
      <c r="N309" s="3"/>
      <c r="O309" s="3">
        <v>1</v>
      </c>
      <c r="P309" s="3">
        <v>2</v>
      </c>
      <c r="Q309" s="3">
        <v>2</v>
      </c>
      <c r="R309" s="3"/>
      <c r="S309" s="3"/>
      <c r="T309" s="3"/>
      <c r="U309" s="3"/>
      <c r="V309" s="3"/>
      <c r="W309" s="3"/>
      <c r="X309" s="3"/>
      <c r="Y309" s="3" t="s">
        <v>40</v>
      </c>
      <c r="Z309" s="3"/>
      <c r="AA309" s="3" t="s">
        <v>233</v>
      </c>
      <c r="AB309" s="6" t="str">
        <f>HYPERLINK(_xlfn.CONCAT("https://www.google.com/maps/search/",Tabela1[[#This Row],[GPS]]),"##")</f>
        <v>##</v>
      </c>
      <c r="AC309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09" s="3" t="str">
        <f>_xlfn.CONCAT("https://raw.githubusercontent.com/marcelo-pascoal/Semaforos/refs/heads/main/fotos/",Tabela1[[#This Row],[id_0]],".jpg")</f>
        <v>https://raw.githubusercontent.com/marcelo-pascoal/Semaforos/refs/heads/main/fotos/582.jpg</v>
      </c>
      <c r="AE309" s="3" t="str">
        <f>_xlfn.CONCAT("https://raw.githubusercontent.com/marcelo-pascoal/Semaforos/refs/heads/main/fotosD/",Tabela1[[#This Row],[id_0]],".jpg")</f>
        <v>https://raw.githubusercontent.com/marcelo-pascoal/Semaforos/refs/heads/main/fotosD/582.jpg</v>
      </c>
      <c r="AF309" s="3">
        <v>3</v>
      </c>
    </row>
    <row r="310" spans="1:32" ht="250" customHeight="1" x14ac:dyDescent="0.35">
      <c r="A310" s="2" t="s">
        <v>1055</v>
      </c>
      <c r="B310" s="5">
        <v>583</v>
      </c>
      <c r="C310" s="2" t="s">
        <v>1058</v>
      </c>
      <c r="D310" s="1" t="s">
        <v>31</v>
      </c>
      <c r="G310" s="1" t="s">
        <v>1144</v>
      </c>
      <c r="H310" s="1" t="s">
        <v>31</v>
      </c>
      <c r="I310" s="1" t="s">
        <v>1059</v>
      </c>
      <c r="J310" s="2" t="s">
        <v>584</v>
      </c>
      <c r="K310" s="2" t="s">
        <v>529</v>
      </c>
      <c r="L310" s="3"/>
      <c r="M310" s="3">
        <v>2</v>
      </c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 t="s">
        <v>233</v>
      </c>
      <c r="AB310" s="6" t="str">
        <f>HYPERLINK(_xlfn.CONCAT("https://www.google.com/maps/search/",Tabela1[[#This Row],[GPS]]),"##")</f>
        <v>##</v>
      </c>
      <c r="AC310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10" s="3" t="str">
        <f>_xlfn.CONCAT("https://raw.githubusercontent.com/marcelo-pascoal/Semaforos/refs/heads/main/fotos/",Tabela1[[#This Row],[id_0]],".jpg")</f>
        <v>https://raw.githubusercontent.com/marcelo-pascoal/Semaforos/refs/heads/main/fotos/583.jpg</v>
      </c>
      <c r="AE310" s="3" t="str">
        <f>_xlfn.CONCAT("https://raw.githubusercontent.com/marcelo-pascoal/Semaforos/refs/heads/main/fotosD/",Tabela1[[#This Row],[id_0]],".jpg")</f>
        <v>https://raw.githubusercontent.com/marcelo-pascoal/Semaforos/refs/heads/main/fotosD/583.jpg</v>
      </c>
      <c r="AF310" s="3">
        <v>3</v>
      </c>
    </row>
    <row r="311" spans="1:32" ht="250" customHeight="1" x14ac:dyDescent="0.35">
      <c r="A311" s="2" t="s">
        <v>1060</v>
      </c>
      <c r="B311" s="5">
        <v>584</v>
      </c>
      <c r="C311" s="2" t="s">
        <v>1061</v>
      </c>
      <c r="D311" s="1" t="s">
        <v>60</v>
      </c>
      <c r="E311" s="2" t="s">
        <v>1147</v>
      </c>
      <c r="F311" s="2" t="s">
        <v>1064</v>
      </c>
      <c r="G311" s="1" t="s">
        <v>1145</v>
      </c>
      <c r="H311" s="1" t="s">
        <v>1146</v>
      </c>
      <c r="I311" s="1" t="s">
        <v>1062</v>
      </c>
      <c r="J311" s="2" t="s">
        <v>1063</v>
      </c>
      <c r="K311" s="2" t="s">
        <v>232</v>
      </c>
      <c r="L311" s="3">
        <v>1</v>
      </c>
      <c r="M311" s="3"/>
      <c r="N311" s="3"/>
      <c r="O311" s="3">
        <v>1</v>
      </c>
      <c r="P311" s="3">
        <v>3</v>
      </c>
      <c r="Q311" s="3">
        <v>2</v>
      </c>
      <c r="R311" s="3">
        <v>1</v>
      </c>
      <c r="S311" s="3">
        <v>1</v>
      </c>
      <c r="T311" s="3">
        <v>1</v>
      </c>
      <c r="U311" s="3">
        <v>1</v>
      </c>
      <c r="V311" s="3">
        <v>1</v>
      </c>
      <c r="W311" s="3" t="s">
        <v>40</v>
      </c>
      <c r="X311" s="3" t="s">
        <v>40</v>
      </c>
      <c r="Y311" s="3"/>
      <c r="Z311" s="3"/>
      <c r="AA311" s="3" t="s">
        <v>35</v>
      </c>
      <c r="AB311" s="6" t="str">
        <f>HYPERLINK(_xlfn.CONCAT("https://www.google.com/maps/search/",Tabela1[[#This Row],[GPS]]),"##")</f>
        <v>##</v>
      </c>
      <c r="AC311" s="3" t="str">
        <f>_xlfn.CONCAT("https://raw.githubusercontent.com/marcelo-pascoal/Semaforos/refs/heads/main/fotosD/",Tabela1[[#This Row],[Foto1]])</f>
        <v>https://raw.githubusercontent.com/marcelo-pascoal/Semaforos/refs/heads/main/fotosD/IMG_1121.JPG</v>
      </c>
      <c r="AD311" s="3" t="str">
        <f>_xlfn.CONCAT("https://raw.githubusercontent.com/marcelo-pascoal/Semaforos/refs/heads/main/fotos/",Tabela1[[#This Row],[id_0]],".jpg")</f>
        <v>https://raw.githubusercontent.com/marcelo-pascoal/Semaforos/refs/heads/main/fotos/584.jpg</v>
      </c>
      <c r="AE311" s="3" t="str">
        <f>_xlfn.CONCAT("https://raw.githubusercontent.com/marcelo-pascoal/Semaforos/refs/heads/main/fotosD/",Tabela1[[#This Row],[id_0]],".jpg")</f>
        <v>https://raw.githubusercontent.com/marcelo-pascoal/Semaforos/refs/heads/main/fotosD/584.jpg</v>
      </c>
      <c r="AF311" s="3">
        <v>1</v>
      </c>
    </row>
    <row r="312" spans="1:32" ht="250" customHeight="1" x14ac:dyDescent="0.35">
      <c r="A312" s="2" t="s">
        <v>1060</v>
      </c>
      <c r="B312" s="5">
        <v>585</v>
      </c>
      <c r="C312" s="2" t="s">
        <v>1065</v>
      </c>
      <c r="D312" s="1" t="s">
        <v>38</v>
      </c>
      <c r="F312" s="2" t="s">
        <v>1067</v>
      </c>
      <c r="G312" s="1" t="s">
        <v>1144</v>
      </c>
      <c r="H312" s="1" t="s">
        <v>1146</v>
      </c>
      <c r="I312" s="1" t="s">
        <v>1066</v>
      </c>
      <c r="J312" s="2" t="s">
        <v>1063</v>
      </c>
      <c r="K312" s="2" t="s">
        <v>232</v>
      </c>
      <c r="L312" s="3"/>
      <c r="M312" s="3"/>
      <c r="N312" s="3"/>
      <c r="O312" s="3"/>
      <c r="P312" s="3">
        <v>2</v>
      </c>
      <c r="Q312" s="3"/>
      <c r="R312" s="3"/>
      <c r="S312" s="3"/>
      <c r="T312" s="3"/>
      <c r="U312" s="3">
        <v>1</v>
      </c>
      <c r="V312" s="3">
        <v>1</v>
      </c>
      <c r="W312" s="3" t="s">
        <v>40</v>
      </c>
      <c r="X312" s="3" t="s">
        <v>40</v>
      </c>
      <c r="Y312" s="3"/>
      <c r="Z312" s="3"/>
      <c r="AA312" s="3" t="s">
        <v>35</v>
      </c>
      <c r="AB312" s="6" t="str">
        <f>HYPERLINK(_xlfn.CONCAT("https://www.google.com/maps/search/",Tabela1[[#This Row],[GPS]]),"##")</f>
        <v>##</v>
      </c>
      <c r="AC312" s="3" t="str">
        <f>_xlfn.CONCAT("https://raw.githubusercontent.com/marcelo-pascoal/Semaforos/refs/heads/main/fotosD/",Tabela1[[#This Row],[Foto1]])</f>
        <v>https://raw.githubusercontent.com/marcelo-pascoal/Semaforos/refs/heads/main/fotosD/IMG_1120.JPG</v>
      </c>
      <c r="AD312" s="3" t="str">
        <f>_xlfn.CONCAT("https://raw.githubusercontent.com/marcelo-pascoal/Semaforos/refs/heads/main/fotos/",Tabela1[[#This Row],[id_0]],".jpg")</f>
        <v>https://raw.githubusercontent.com/marcelo-pascoal/Semaforos/refs/heads/main/fotos/585.jpg</v>
      </c>
      <c r="AE312" s="3" t="str">
        <f>_xlfn.CONCAT("https://raw.githubusercontent.com/marcelo-pascoal/Semaforos/refs/heads/main/fotosD/",Tabela1[[#This Row],[id_0]],".jpg")</f>
        <v>https://raw.githubusercontent.com/marcelo-pascoal/Semaforos/refs/heads/main/fotosD/585.jpg</v>
      </c>
      <c r="AF312" s="3">
        <v>1</v>
      </c>
    </row>
    <row r="313" spans="1:32" ht="250" customHeight="1" x14ac:dyDescent="0.35">
      <c r="A313" s="2" t="s">
        <v>1060</v>
      </c>
      <c r="B313" s="5">
        <v>586</v>
      </c>
      <c r="C313" s="2" t="s">
        <v>1068</v>
      </c>
      <c r="D313" s="1" t="s">
        <v>38</v>
      </c>
      <c r="E313" s="2" t="s">
        <v>1147</v>
      </c>
      <c r="F313" s="2" t="s">
        <v>1071</v>
      </c>
      <c r="G313" s="1" t="s">
        <v>1144</v>
      </c>
      <c r="H313" s="1" t="s">
        <v>1146</v>
      </c>
      <c r="I313" s="1" t="s">
        <v>1069</v>
      </c>
      <c r="J313" s="2" t="s">
        <v>1070</v>
      </c>
      <c r="K313" s="2" t="s">
        <v>232</v>
      </c>
      <c r="L313" s="3"/>
      <c r="M313" s="3"/>
      <c r="N313" s="3"/>
      <c r="O313" s="3">
        <v>1</v>
      </c>
      <c r="P313" s="3">
        <v>2</v>
      </c>
      <c r="Q313" s="3">
        <v>1</v>
      </c>
      <c r="R313" s="3">
        <v>1</v>
      </c>
      <c r="S313" s="3">
        <v>1</v>
      </c>
      <c r="T313" s="3">
        <v>1</v>
      </c>
      <c r="U313" s="3"/>
      <c r="V313" s="3"/>
      <c r="W313" s="3"/>
      <c r="X313" s="3"/>
      <c r="Y313" s="3"/>
      <c r="Z313" s="3"/>
      <c r="AA313" s="3" t="s">
        <v>35</v>
      </c>
      <c r="AB313" s="6" t="str">
        <f>HYPERLINK(_xlfn.CONCAT("https://www.google.com/maps/search/",Tabela1[[#This Row],[GPS]]),"##")</f>
        <v>##</v>
      </c>
      <c r="AC313" s="3" t="str">
        <f>_xlfn.CONCAT("https://raw.githubusercontent.com/marcelo-pascoal/Semaforos/refs/heads/main/fotosD/",Tabela1[[#This Row],[Foto1]])</f>
        <v>https://raw.githubusercontent.com/marcelo-pascoal/Semaforos/refs/heads/main/fotosD/IMG_1096.JPG</v>
      </c>
      <c r="AD313" s="3" t="str">
        <f>_xlfn.CONCAT("https://raw.githubusercontent.com/marcelo-pascoal/Semaforos/refs/heads/main/fotos/",Tabela1[[#This Row],[id_0]],".jpg")</f>
        <v>https://raw.githubusercontent.com/marcelo-pascoal/Semaforos/refs/heads/main/fotos/586.jpg</v>
      </c>
      <c r="AE313" s="3" t="str">
        <f>_xlfn.CONCAT("https://raw.githubusercontent.com/marcelo-pascoal/Semaforos/refs/heads/main/fotosD/",Tabela1[[#This Row],[id_0]],".jpg")</f>
        <v>https://raw.githubusercontent.com/marcelo-pascoal/Semaforos/refs/heads/main/fotosD/586.jpg</v>
      </c>
      <c r="AF313" s="3">
        <v>1</v>
      </c>
    </row>
    <row r="314" spans="1:32" ht="250" customHeight="1" x14ac:dyDescent="0.35">
      <c r="A314" s="2" t="s">
        <v>1060</v>
      </c>
      <c r="B314" s="5">
        <v>587</v>
      </c>
      <c r="C314" s="2" t="s">
        <v>1072</v>
      </c>
      <c r="D314" s="1" t="s">
        <v>38</v>
      </c>
      <c r="F314" s="2" t="s">
        <v>1074</v>
      </c>
      <c r="G314" s="1" t="s">
        <v>1144</v>
      </c>
      <c r="H314" s="1" t="s">
        <v>1146</v>
      </c>
      <c r="I314" s="1" t="s">
        <v>1073</v>
      </c>
      <c r="J314" s="2" t="s">
        <v>1063</v>
      </c>
      <c r="K314" s="2" t="s">
        <v>232</v>
      </c>
      <c r="L314" s="3"/>
      <c r="M314" s="3"/>
      <c r="N314" s="3"/>
      <c r="O314" s="3"/>
      <c r="P314" s="3">
        <v>2</v>
      </c>
      <c r="Q314" s="3"/>
      <c r="R314" s="3"/>
      <c r="S314" s="3"/>
      <c r="T314" s="3"/>
      <c r="U314" s="3">
        <v>1</v>
      </c>
      <c r="V314" s="3">
        <v>1</v>
      </c>
      <c r="W314" s="3" t="s">
        <v>40</v>
      </c>
      <c r="X314" s="3" t="s">
        <v>40</v>
      </c>
      <c r="Y314" s="3"/>
      <c r="Z314" s="3"/>
      <c r="AA314" s="3" t="s">
        <v>35</v>
      </c>
      <c r="AB314" s="6" t="str">
        <f>HYPERLINK(_xlfn.CONCAT("https://www.google.com/maps/search/",Tabela1[[#This Row],[GPS]]),"##")</f>
        <v>##</v>
      </c>
      <c r="AC314" s="3" t="str">
        <f>_xlfn.CONCAT("https://raw.githubusercontent.com/marcelo-pascoal/Semaforos/refs/heads/main/fotosD/",Tabela1[[#This Row],[Foto1]])</f>
        <v>https://raw.githubusercontent.com/marcelo-pascoal/Semaforos/refs/heads/main/fotosD/IMG_1102.JPG</v>
      </c>
      <c r="AD314" s="3" t="str">
        <f>_xlfn.CONCAT("https://raw.githubusercontent.com/marcelo-pascoal/Semaforos/refs/heads/main/fotos/",Tabela1[[#This Row],[id_0]],".jpg")</f>
        <v>https://raw.githubusercontent.com/marcelo-pascoal/Semaforos/refs/heads/main/fotos/587.jpg</v>
      </c>
      <c r="AE314" s="3" t="str">
        <f>_xlfn.CONCAT("https://raw.githubusercontent.com/marcelo-pascoal/Semaforos/refs/heads/main/fotosD/",Tabela1[[#This Row],[id_0]],".jpg")</f>
        <v>https://raw.githubusercontent.com/marcelo-pascoal/Semaforos/refs/heads/main/fotosD/587.jpg</v>
      </c>
      <c r="AF314" s="3">
        <v>1</v>
      </c>
    </row>
    <row r="315" spans="1:32" ht="250" customHeight="1" x14ac:dyDescent="0.35">
      <c r="A315" s="2" t="s">
        <v>1060</v>
      </c>
      <c r="B315" s="5">
        <v>588</v>
      </c>
      <c r="C315" s="2" t="s">
        <v>1075</v>
      </c>
      <c r="D315" s="1" t="s">
        <v>60</v>
      </c>
      <c r="E315" s="2" t="s">
        <v>1147</v>
      </c>
      <c r="F315" s="2" t="s">
        <v>1077</v>
      </c>
      <c r="G315" s="1" t="s">
        <v>1145</v>
      </c>
      <c r="H315" s="1" t="s">
        <v>1146</v>
      </c>
      <c r="I315" s="1" t="s">
        <v>1076</v>
      </c>
      <c r="J315" s="2" t="s">
        <v>1063</v>
      </c>
      <c r="K315" s="2" t="s">
        <v>232</v>
      </c>
      <c r="L315" s="3">
        <v>1</v>
      </c>
      <c r="M315" s="3"/>
      <c r="N315" s="3"/>
      <c r="O315" s="3">
        <v>1</v>
      </c>
      <c r="P315" s="3">
        <v>3</v>
      </c>
      <c r="Q315" s="3">
        <v>2</v>
      </c>
      <c r="R315" s="3">
        <v>1</v>
      </c>
      <c r="S315" s="3">
        <v>1</v>
      </c>
      <c r="T315" s="3">
        <v>1</v>
      </c>
      <c r="U315" s="3"/>
      <c r="V315" s="3"/>
      <c r="W315" s="3" t="s">
        <v>40</v>
      </c>
      <c r="X315" s="3" t="s">
        <v>40</v>
      </c>
      <c r="Y315" s="3"/>
      <c r="Z315" s="3"/>
      <c r="AA315" s="3" t="s">
        <v>35</v>
      </c>
      <c r="AB315" s="6" t="str">
        <f>HYPERLINK(_xlfn.CONCAT("https://www.google.com/maps/search/",Tabela1[[#This Row],[GPS]]),"##")</f>
        <v>##</v>
      </c>
      <c r="AC315" s="3" t="str">
        <f>_xlfn.CONCAT("https://raw.githubusercontent.com/marcelo-pascoal/Semaforos/refs/heads/main/fotosD/",Tabela1[[#This Row],[Foto1]])</f>
        <v>https://raw.githubusercontent.com/marcelo-pascoal/Semaforos/refs/heads/main/fotosD/IMG_1105.JPG</v>
      </c>
      <c r="AD315" s="3" t="str">
        <f>_xlfn.CONCAT("https://raw.githubusercontent.com/marcelo-pascoal/Semaforos/refs/heads/main/fotos/",Tabela1[[#This Row],[id_0]],".jpg")</f>
        <v>https://raw.githubusercontent.com/marcelo-pascoal/Semaforos/refs/heads/main/fotos/588.jpg</v>
      </c>
      <c r="AE315" s="3" t="str">
        <f>_xlfn.CONCAT("https://raw.githubusercontent.com/marcelo-pascoal/Semaforos/refs/heads/main/fotosD/",Tabela1[[#This Row],[id_0]],".jpg")</f>
        <v>https://raw.githubusercontent.com/marcelo-pascoal/Semaforos/refs/heads/main/fotosD/588.jpg</v>
      </c>
      <c r="AF315" s="3">
        <v>1</v>
      </c>
    </row>
    <row r="316" spans="1:32" ht="250" customHeight="1" x14ac:dyDescent="0.35">
      <c r="A316" s="2" t="s">
        <v>1060</v>
      </c>
      <c r="B316" s="5">
        <v>589</v>
      </c>
      <c r="C316" s="2" t="s">
        <v>1078</v>
      </c>
      <c r="D316" s="1" t="s">
        <v>38</v>
      </c>
      <c r="E316" s="2" t="s">
        <v>1147</v>
      </c>
      <c r="F316" s="2" t="s">
        <v>1081</v>
      </c>
      <c r="G316" s="1" t="s">
        <v>1144</v>
      </c>
      <c r="H316" s="1" t="s">
        <v>1146</v>
      </c>
      <c r="I316" s="1" t="s">
        <v>1079</v>
      </c>
      <c r="J316" s="2" t="s">
        <v>1080</v>
      </c>
      <c r="K316" s="2" t="s">
        <v>232</v>
      </c>
      <c r="L316" s="3"/>
      <c r="M316" s="3"/>
      <c r="N316" s="3"/>
      <c r="O316" s="3"/>
      <c r="P316" s="3">
        <v>2</v>
      </c>
      <c r="Q316" s="3"/>
      <c r="R316" s="3"/>
      <c r="S316" s="3"/>
      <c r="T316" s="3"/>
      <c r="U316" s="3">
        <v>1</v>
      </c>
      <c r="V316" s="3">
        <v>1</v>
      </c>
      <c r="W316" s="3" t="s">
        <v>40</v>
      </c>
      <c r="X316" s="3" t="s">
        <v>40</v>
      </c>
      <c r="Y316" s="3"/>
      <c r="Z316" s="3"/>
      <c r="AA316" s="3" t="s">
        <v>35</v>
      </c>
      <c r="AB316" s="6" t="str">
        <f>HYPERLINK(_xlfn.CONCAT("https://www.google.com/maps/search/",Tabela1[[#This Row],[GPS]]),"##")</f>
        <v>##</v>
      </c>
      <c r="AC316" s="3" t="str">
        <f>_xlfn.CONCAT("https://raw.githubusercontent.com/marcelo-pascoal/Semaforos/refs/heads/main/fotosD/",Tabela1[[#This Row],[Foto1]])</f>
        <v>https://raw.githubusercontent.com/marcelo-pascoal/Semaforos/refs/heads/main/fotosD/IMG_1110.JPG</v>
      </c>
      <c r="AD316" s="3" t="str">
        <f>_xlfn.CONCAT("https://raw.githubusercontent.com/marcelo-pascoal/Semaforos/refs/heads/main/fotos/",Tabela1[[#This Row],[id_0]],".jpg")</f>
        <v>https://raw.githubusercontent.com/marcelo-pascoal/Semaforos/refs/heads/main/fotos/589.jpg</v>
      </c>
      <c r="AE316" s="3" t="str">
        <f>_xlfn.CONCAT("https://raw.githubusercontent.com/marcelo-pascoal/Semaforos/refs/heads/main/fotosD/",Tabela1[[#This Row],[id_0]],".jpg")</f>
        <v>https://raw.githubusercontent.com/marcelo-pascoal/Semaforos/refs/heads/main/fotosD/589.jpg</v>
      </c>
      <c r="AF316" s="3">
        <v>1</v>
      </c>
    </row>
    <row r="317" spans="1:32" ht="250" customHeight="1" x14ac:dyDescent="0.35">
      <c r="A317" s="2" t="s">
        <v>1060</v>
      </c>
      <c r="B317" s="5">
        <v>590</v>
      </c>
      <c r="C317" s="2" t="s">
        <v>1082</v>
      </c>
      <c r="D317" s="1" t="s">
        <v>60</v>
      </c>
      <c r="E317" s="2" t="s">
        <v>1147</v>
      </c>
      <c r="F317" s="2" t="s">
        <v>1084</v>
      </c>
      <c r="G317" s="1" t="s">
        <v>1145</v>
      </c>
      <c r="H317" s="1" t="s">
        <v>1146</v>
      </c>
      <c r="I317" s="1" t="s">
        <v>1083</v>
      </c>
      <c r="J317" s="2" t="s">
        <v>1080</v>
      </c>
      <c r="K317" s="2" t="s">
        <v>232</v>
      </c>
      <c r="L317" s="3">
        <v>1</v>
      </c>
      <c r="M317" s="3"/>
      <c r="N317" s="3"/>
      <c r="O317" s="3">
        <v>1</v>
      </c>
      <c r="P317" s="3">
        <v>3</v>
      </c>
      <c r="Q317" s="3">
        <v>2</v>
      </c>
      <c r="R317" s="3">
        <v>1</v>
      </c>
      <c r="S317" s="3">
        <v>1</v>
      </c>
      <c r="T317" s="3">
        <v>1</v>
      </c>
      <c r="U317" s="3">
        <v>1</v>
      </c>
      <c r="V317" s="3">
        <v>1</v>
      </c>
      <c r="W317" s="3" t="s">
        <v>40</v>
      </c>
      <c r="X317" s="3" t="s">
        <v>40</v>
      </c>
      <c r="Y317" s="3"/>
      <c r="Z317" s="3"/>
      <c r="AA317" s="3" t="s">
        <v>35</v>
      </c>
      <c r="AB317" s="6" t="str">
        <f>HYPERLINK(_xlfn.CONCAT("https://www.google.com/maps/search/",Tabela1[[#This Row],[GPS]]),"##")</f>
        <v>##</v>
      </c>
      <c r="AC317" s="3" t="str">
        <f>_xlfn.CONCAT("https://raw.githubusercontent.com/marcelo-pascoal/Semaforos/refs/heads/main/fotosD/",Tabela1[[#This Row],[Foto1]])</f>
        <v>https://raw.githubusercontent.com/marcelo-pascoal/Semaforos/refs/heads/main/fotosD/IMG_1112.JPG</v>
      </c>
      <c r="AD317" s="3" t="str">
        <f>_xlfn.CONCAT("https://raw.githubusercontent.com/marcelo-pascoal/Semaforos/refs/heads/main/fotos/",Tabela1[[#This Row],[id_0]],".jpg")</f>
        <v>https://raw.githubusercontent.com/marcelo-pascoal/Semaforos/refs/heads/main/fotos/590.jpg</v>
      </c>
      <c r="AE317" s="3" t="str">
        <f>_xlfn.CONCAT("https://raw.githubusercontent.com/marcelo-pascoal/Semaforos/refs/heads/main/fotosD/",Tabela1[[#This Row],[id_0]],".jpg")</f>
        <v>https://raw.githubusercontent.com/marcelo-pascoal/Semaforos/refs/heads/main/fotosD/590.jpg</v>
      </c>
      <c r="AF317" s="3">
        <v>1</v>
      </c>
    </row>
    <row r="318" spans="1:32" ht="250" customHeight="1" x14ac:dyDescent="0.35">
      <c r="A318" s="2" t="s">
        <v>1085</v>
      </c>
      <c r="B318" s="5">
        <v>591</v>
      </c>
      <c r="C318" s="2" t="s">
        <v>1086</v>
      </c>
      <c r="D318" s="1" t="s">
        <v>60</v>
      </c>
      <c r="G318" s="1" t="s">
        <v>1145</v>
      </c>
      <c r="H318" s="1" t="s">
        <v>1146</v>
      </c>
      <c r="I318" s="1" t="s">
        <v>1087</v>
      </c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 t="s">
        <v>40</v>
      </c>
      <c r="Z318" s="3"/>
      <c r="AA318" s="3" t="s">
        <v>233</v>
      </c>
      <c r="AB318" s="6" t="str">
        <f>HYPERLINK(_xlfn.CONCAT("https://www.google.com/maps/search/",Tabela1[[#This Row],[GPS]]),"##")</f>
        <v>##</v>
      </c>
      <c r="AC318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18" s="3" t="str">
        <f>_xlfn.CONCAT("https://raw.githubusercontent.com/marcelo-pascoal/Semaforos/refs/heads/main/fotos/",Tabela1[[#This Row],[id_0]],".jpg")</f>
        <v>https://raw.githubusercontent.com/marcelo-pascoal/Semaforos/refs/heads/main/fotos/591.jpg</v>
      </c>
      <c r="AE318" s="3" t="str">
        <f>_xlfn.CONCAT("https://raw.githubusercontent.com/marcelo-pascoal/Semaforos/refs/heads/main/fotosD/",Tabela1[[#This Row],[id_0]],".jpg")</f>
        <v>https://raw.githubusercontent.com/marcelo-pascoal/Semaforos/refs/heads/main/fotosD/591.jpg</v>
      </c>
      <c r="AF318" s="3">
        <v>1</v>
      </c>
    </row>
    <row r="319" spans="1:32" ht="250" customHeight="1" x14ac:dyDescent="0.35">
      <c r="A319" s="2" t="s">
        <v>1085</v>
      </c>
      <c r="B319" s="5">
        <v>592</v>
      </c>
      <c r="C319" s="2" t="s">
        <v>1088</v>
      </c>
      <c r="D319" s="1" t="s">
        <v>60</v>
      </c>
      <c r="G319" s="1" t="s">
        <v>1145</v>
      </c>
      <c r="H319" s="1" t="s">
        <v>1146</v>
      </c>
      <c r="I319" s="1" t="s">
        <v>1089</v>
      </c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 t="s">
        <v>233</v>
      </c>
      <c r="AB319" s="6" t="str">
        <f>HYPERLINK(_xlfn.CONCAT("https://www.google.com/maps/search/",Tabela1[[#This Row],[GPS]]),"##")</f>
        <v>##</v>
      </c>
      <c r="AC319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19" s="3" t="str">
        <f>_xlfn.CONCAT("https://raw.githubusercontent.com/marcelo-pascoal/Semaforos/refs/heads/main/fotos/",Tabela1[[#This Row],[id_0]],".jpg")</f>
        <v>https://raw.githubusercontent.com/marcelo-pascoal/Semaforos/refs/heads/main/fotos/592.jpg</v>
      </c>
      <c r="AE319" s="3" t="str">
        <f>_xlfn.CONCAT("https://raw.githubusercontent.com/marcelo-pascoal/Semaforos/refs/heads/main/fotosD/",Tabela1[[#This Row],[id_0]],".jpg")</f>
        <v>https://raw.githubusercontent.com/marcelo-pascoal/Semaforos/refs/heads/main/fotosD/592.jpg</v>
      </c>
      <c r="AF319" s="3">
        <v>1</v>
      </c>
    </row>
    <row r="320" spans="1:32" ht="250" customHeight="1" x14ac:dyDescent="0.35">
      <c r="A320" s="2" t="s">
        <v>1085</v>
      </c>
      <c r="B320" s="5">
        <v>593</v>
      </c>
      <c r="C320" s="2" t="s">
        <v>1090</v>
      </c>
      <c r="D320" s="1" t="s">
        <v>60</v>
      </c>
      <c r="G320" s="1" t="s">
        <v>1145</v>
      </c>
      <c r="H320" s="1" t="s">
        <v>1146</v>
      </c>
      <c r="I320" s="1" t="s">
        <v>1091</v>
      </c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 t="s">
        <v>233</v>
      </c>
      <c r="AB320" s="6" t="str">
        <f>HYPERLINK(_xlfn.CONCAT("https://www.google.com/maps/search/",Tabela1[[#This Row],[GPS]]),"##")</f>
        <v>##</v>
      </c>
      <c r="AC320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0" s="3" t="str">
        <f>_xlfn.CONCAT("https://raw.githubusercontent.com/marcelo-pascoal/Semaforos/refs/heads/main/fotos/",Tabela1[[#This Row],[id_0]],".jpg")</f>
        <v>https://raw.githubusercontent.com/marcelo-pascoal/Semaforos/refs/heads/main/fotos/593.jpg</v>
      </c>
      <c r="AE320" s="3" t="str">
        <f>_xlfn.CONCAT("https://raw.githubusercontent.com/marcelo-pascoal/Semaforos/refs/heads/main/fotosD/",Tabela1[[#This Row],[id_0]],".jpg")</f>
        <v>https://raw.githubusercontent.com/marcelo-pascoal/Semaforos/refs/heads/main/fotosD/593.jpg</v>
      </c>
      <c r="AF320" s="3">
        <v>1</v>
      </c>
    </row>
    <row r="321" spans="1:32" ht="250" customHeight="1" x14ac:dyDescent="0.35">
      <c r="A321" s="2" t="s">
        <v>1085</v>
      </c>
      <c r="B321" s="5">
        <v>594</v>
      </c>
      <c r="C321" s="2" t="s">
        <v>1092</v>
      </c>
      <c r="D321" s="1" t="s">
        <v>60</v>
      </c>
      <c r="G321" s="1" t="s">
        <v>1145</v>
      </c>
      <c r="H321" s="1" t="s">
        <v>1146</v>
      </c>
      <c r="I321" s="1" t="s">
        <v>1093</v>
      </c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 t="s">
        <v>40</v>
      </c>
      <c r="Z321" s="3"/>
      <c r="AA321" s="3" t="s">
        <v>233</v>
      </c>
      <c r="AB321" s="6" t="str">
        <f>HYPERLINK(_xlfn.CONCAT("https://www.google.com/maps/search/",Tabela1[[#This Row],[GPS]]),"##")</f>
        <v>##</v>
      </c>
      <c r="AC321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1" s="3" t="str">
        <f>_xlfn.CONCAT("https://raw.githubusercontent.com/marcelo-pascoal/Semaforos/refs/heads/main/fotos/",Tabela1[[#This Row],[id_0]],".jpg")</f>
        <v>https://raw.githubusercontent.com/marcelo-pascoal/Semaforos/refs/heads/main/fotos/594.jpg</v>
      </c>
      <c r="AE321" s="3" t="str">
        <f>_xlfn.CONCAT("https://raw.githubusercontent.com/marcelo-pascoal/Semaforos/refs/heads/main/fotosD/",Tabela1[[#This Row],[id_0]],".jpg")</f>
        <v>https://raw.githubusercontent.com/marcelo-pascoal/Semaforos/refs/heads/main/fotosD/594.jpg</v>
      </c>
      <c r="AF321" s="3">
        <v>1</v>
      </c>
    </row>
    <row r="322" spans="1:32" ht="250" customHeight="1" x14ac:dyDescent="0.35">
      <c r="A322" s="2" t="s">
        <v>1094</v>
      </c>
      <c r="B322" s="5">
        <v>595</v>
      </c>
      <c r="C322" s="2" t="s">
        <v>1095</v>
      </c>
      <c r="D322" s="1" t="s">
        <v>60</v>
      </c>
      <c r="G322" s="1" t="s">
        <v>1145</v>
      </c>
      <c r="H322" s="1" t="s">
        <v>1146</v>
      </c>
      <c r="I322" s="1" t="s">
        <v>1096</v>
      </c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 t="s">
        <v>233</v>
      </c>
      <c r="AB322" s="6" t="str">
        <f>HYPERLINK(_xlfn.CONCAT("https://www.google.com/maps/search/",Tabela1[[#This Row],[GPS]]),"##")</f>
        <v>##</v>
      </c>
      <c r="AC322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2" s="3" t="str">
        <f>_xlfn.CONCAT("https://raw.githubusercontent.com/marcelo-pascoal/Semaforos/refs/heads/main/fotos/",Tabela1[[#This Row],[id_0]],".jpg")</f>
        <v>https://raw.githubusercontent.com/marcelo-pascoal/Semaforos/refs/heads/main/fotos/595.jpg</v>
      </c>
      <c r="AE322" s="3" t="str">
        <f>_xlfn.CONCAT("https://raw.githubusercontent.com/marcelo-pascoal/Semaforos/refs/heads/main/fotosD/",Tabela1[[#This Row],[id_0]],".jpg")</f>
        <v>https://raw.githubusercontent.com/marcelo-pascoal/Semaforos/refs/heads/main/fotosD/595.jpg</v>
      </c>
      <c r="AF322" s="3">
        <v>5</v>
      </c>
    </row>
    <row r="323" spans="1:32" ht="250" customHeight="1" x14ac:dyDescent="0.35">
      <c r="A323" s="2" t="s">
        <v>1094</v>
      </c>
      <c r="B323" s="5">
        <v>596</v>
      </c>
      <c r="C323" s="2" t="s">
        <v>1097</v>
      </c>
      <c r="D323" s="1" t="s">
        <v>60</v>
      </c>
      <c r="G323" s="1" t="s">
        <v>1145</v>
      </c>
      <c r="H323" s="1" t="s">
        <v>1146</v>
      </c>
      <c r="I323" s="1" t="s">
        <v>1098</v>
      </c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 t="s">
        <v>233</v>
      </c>
      <c r="AB323" s="6" t="str">
        <f>HYPERLINK(_xlfn.CONCAT("https://www.google.com/maps/search/",Tabela1[[#This Row],[GPS]]),"##")</f>
        <v>##</v>
      </c>
      <c r="AC323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3" s="3" t="str">
        <f>_xlfn.CONCAT("https://raw.githubusercontent.com/marcelo-pascoal/Semaforos/refs/heads/main/fotos/",Tabela1[[#This Row],[id_0]],".jpg")</f>
        <v>https://raw.githubusercontent.com/marcelo-pascoal/Semaforos/refs/heads/main/fotos/596.jpg</v>
      </c>
      <c r="AE323" s="3" t="str">
        <f>_xlfn.CONCAT("https://raw.githubusercontent.com/marcelo-pascoal/Semaforos/refs/heads/main/fotosD/",Tabela1[[#This Row],[id_0]],".jpg")</f>
        <v>https://raw.githubusercontent.com/marcelo-pascoal/Semaforos/refs/heads/main/fotosD/596.jpg</v>
      </c>
      <c r="AF323" s="3">
        <v>1</v>
      </c>
    </row>
    <row r="324" spans="1:32" ht="250" customHeight="1" x14ac:dyDescent="0.35">
      <c r="A324" s="2" t="s">
        <v>1094</v>
      </c>
      <c r="B324" s="5">
        <v>597</v>
      </c>
      <c r="C324" s="2" t="s">
        <v>1099</v>
      </c>
      <c r="D324" s="1" t="s">
        <v>60</v>
      </c>
      <c r="G324" s="1" t="s">
        <v>1145</v>
      </c>
      <c r="H324" s="1" t="s">
        <v>1146</v>
      </c>
      <c r="I324" s="1" t="s">
        <v>1100</v>
      </c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 t="s">
        <v>233</v>
      </c>
      <c r="AB324" s="6" t="str">
        <f>HYPERLINK(_xlfn.CONCAT("https://www.google.com/maps/search/",Tabela1[[#This Row],[GPS]]),"##")</f>
        <v>##</v>
      </c>
      <c r="AC324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4" s="3" t="str">
        <f>_xlfn.CONCAT("https://raw.githubusercontent.com/marcelo-pascoal/Semaforos/refs/heads/main/fotos/",Tabela1[[#This Row],[id_0]],".jpg")</f>
        <v>https://raw.githubusercontent.com/marcelo-pascoal/Semaforos/refs/heads/main/fotos/597.jpg</v>
      </c>
      <c r="AE324" s="3" t="str">
        <f>_xlfn.CONCAT("https://raw.githubusercontent.com/marcelo-pascoal/Semaforos/refs/heads/main/fotosD/",Tabela1[[#This Row],[id_0]],".jpg")</f>
        <v>https://raw.githubusercontent.com/marcelo-pascoal/Semaforos/refs/heads/main/fotosD/597.jpg</v>
      </c>
      <c r="AF324" s="3">
        <v>1</v>
      </c>
    </row>
    <row r="325" spans="1:32" ht="250" customHeight="1" x14ac:dyDescent="0.35">
      <c r="A325" s="2" t="s">
        <v>1094</v>
      </c>
      <c r="B325" s="5">
        <v>598</v>
      </c>
      <c r="C325" s="2" t="s">
        <v>1101</v>
      </c>
      <c r="D325" s="1" t="s">
        <v>60</v>
      </c>
      <c r="G325" s="1" t="s">
        <v>1145</v>
      </c>
      <c r="H325" s="1" t="s">
        <v>1146</v>
      </c>
      <c r="I325" s="1" t="s">
        <v>1102</v>
      </c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 t="s">
        <v>40</v>
      </c>
      <c r="Z325" s="3"/>
      <c r="AA325" s="3" t="s">
        <v>233</v>
      </c>
      <c r="AB325" s="6" t="str">
        <f>HYPERLINK(_xlfn.CONCAT("https://www.google.com/maps/search/",Tabela1[[#This Row],[GPS]]),"##")</f>
        <v>##</v>
      </c>
      <c r="AC325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5" s="3" t="str">
        <f>_xlfn.CONCAT("https://raw.githubusercontent.com/marcelo-pascoal/Semaforos/refs/heads/main/fotos/",Tabela1[[#This Row],[id_0]],".jpg")</f>
        <v>https://raw.githubusercontent.com/marcelo-pascoal/Semaforos/refs/heads/main/fotos/598.jpg</v>
      </c>
      <c r="AE325" s="3" t="str">
        <f>_xlfn.CONCAT("https://raw.githubusercontent.com/marcelo-pascoal/Semaforos/refs/heads/main/fotosD/",Tabela1[[#This Row],[id_0]],".jpg")</f>
        <v>https://raw.githubusercontent.com/marcelo-pascoal/Semaforos/refs/heads/main/fotosD/598.jpg</v>
      </c>
      <c r="AF325" s="3">
        <v>1</v>
      </c>
    </row>
    <row r="326" spans="1:32" ht="250" customHeight="1" x14ac:dyDescent="0.35">
      <c r="A326" s="2" t="s">
        <v>1103</v>
      </c>
      <c r="B326" s="5">
        <v>599</v>
      </c>
      <c r="C326" s="2" t="s">
        <v>1104</v>
      </c>
      <c r="D326" s="1" t="s">
        <v>60</v>
      </c>
      <c r="G326" s="1" t="s">
        <v>1145</v>
      </c>
      <c r="H326" s="1" t="s">
        <v>1146</v>
      </c>
      <c r="I326" s="1" t="s">
        <v>1105</v>
      </c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 t="s">
        <v>35</v>
      </c>
      <c r="AB326" s="6" t="str">
        <f>HYPERLINK(_xlfn.CONCAT("https://www.google.com/maps/search/",Tabela1[[#This Row],[GPS]]),"##")</f>
        <v>##</v>
      </c>
      <c r="AC326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6" s="3" t="str">
        <f>_xlfn.CONCAT("https://raw.githubusercontent.com/marcelo-pascoal/Semaforos/refs/heads/main/fotos/",Tabela1[[#This Row],[id_0]],".jpg")</f>
        <v>https://raw.githubusercontent.com/marcelo-pascoal/Semaforos/refs/heads/main/fotos/599.jpg</v>
      </c>
      <c r="AE326" s="3" t="str">
        <f>_xlfn.CONCAT("https://raw.githubusercontent.com/marcelo-pascoal/Semaforos/refs/heads/main/fotosD/",Tabela1[[#This Row],[id_0]],".jpg")</f>
        <v>https://raw.githubusercontent.com/marcelo-pascoal/Semaforos/refs/heads/main/fotosD/599.jpg</v>
      </c>
      <c r="AF326" s="3">
        <v>2</v>
      </c>
    </row>
    <row r="327" spans="1:32" ht="250" customHeight="1" x14ac:dyDescent="0.35">
      <c r="A327" s="2" t="s">
        <v>1103</v>
      </c>
      <c r="B327" s="5">
        <v>600</v>
      </c>
      <c r="C327" s="2" t="s">
        <v>1106</v>
      </c>
      <c r="D327" s="1" t="s">
        <v>38</v>
      </c>
      <c r="G327" s="1" t="s">
        <v>1144</v>
      </c>
      <c r="H327" s="1" t="s">
        <v>1146</v>
      </c>
      <c r="I327" s="1" t="s">
        <v>1107</v>
      </c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 t="s">
        <v>35</v>
      </c>
      <c r="AB327" s="6" t="str">
        <f>HYPERLINK(_xlfn.CONCAT("https://www.google.com/maps/search/",Tabela1[[#This Row],[GPS]]),"##")</f>
        <v>##</v>
      </c>
      <c r="AC327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7" s="3" t="str">
        <f>_xlfn.CONCAT("https://raw.githubusercontent.com/marcelo-pascoal/Semaforos/refs/heads/main/fotos/",Tabela1[[#This Row],[id_0]],".jpg")</f>
        <v>https://raw.githubusercontent.com/marcelo-pascoal/Semaforos/refs/heads/main/fotos/600.jpg</v>
      </c>
      <c r="AE327" s="3" t="str">
        <f>_xlfn.CONCAT("https://raw.githubusercontent.com/marcelo-pascoal/Semaforos/refs/heads/main/fotosD/",Tabela1[[#This Row],[id_0]],".jpg")</f>
        <v>https://raw.githubusercontent.com/marcelo-pascoal/Semaforos/refs/heads/main/fotosD/600.jpg</v>
      </c>
      <c r="AF327" s="3">
        <v>2</v>
      </c>
    </row>
    <row r="328" spans="1:32" ht="250" customHeight="1" x14ac:dyDescent="0.35">
      <c r="A328" s="2" t="s">
        <v>1103</v>
      </c>
      <c r="B328" s="5">
        <v>601</v>
      </c>
      <c r="C328" s="2" t="s">
        <v>1108</v>
      </c>
      <c r="D328" s="1" t="s">
        <v>38</v>
      </c>
      <c r="G328" s="1" t="s">
        <v>1144</v>
      </c>
      <c r="H328" s="1" t="s">
        <v>1146</v>
      </c>
      <c r="I328" s="1" t="s">
        <v>1109</v>
      </c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 t="s">
        <v>35</v>
      </c>
      <c r="AB328" s="6" t="str">
        <f>HYPERLINK(_xlfn.CONCAT("https://www.google.com/maps/search/",Tabela1[[#This Row],[GPS]]),"##")</f>
        <v>##</v>
      </c>
      <c r="AC328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8" s="3" t="str">
        <f>_xlfn.CONCAT("https://raw.githubusercontent.com/marcelo-pascoal/Semaforos/refs/heads/main/fotos/",Tabela1[[#This Row],[id_0]],".jpg")</f>
        <v>https://raw.githubusercontent.com/marcelo-pascoal/Semaforos/refs/heads/main/fotos/601.jpg</v>
      </c>
      <c r="AE328" s="3" t="str">
        <f>_xlfn.CONCAT("https://raw.githubusercontent.com/marcelo-pascoal/Semaforos/refs/heads/main/fotosD/",Tabela1[[#This Row],[id_0]],".jpg")</f>
        <v>https://raw.githubusercontent.com/marcelo-pascoal/Semaforos/refs/heads/main/fotosD/601.jpg</v>
      </c>
      <c r="AF328" s="3">
        <v>2</v>
      </c>
    </row>
    <row r="329" spans="1:32" ht="250" customHeight="1" x14ac:dyDescent="0.35">
      <c r="A329" s="2" t="s">
        <v>1103</v>
      </c>
      <c r="B329" s="5">
        <v>602</v>
      </c>
      <c r="C329" s="2" t="s">
        <v>1110</v>
      </c>
      <c r="D329" s="1" t="s">
        <v>38</v>
      </c>
      <c r="G329" s="1" t="s">
        <v>1144</v>
      </c>
      <c r="H329" s="1" t="s">
        <v>1146</v>
      </c>
      <c r="I329" s="1" t="s">
        <v>1111</v>
      </c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 t="s">
        <v>35</v>
      </c>
      <c r="AB329" s="6" t="str">
        <f>HYPERLINK(_xlfn.CONCAT("https://www.google.com/maps/search/",Tabela1[[#This Row],[GPS]]),"##")</f>
        <v>##</v>
      </c>
      <c r="AC329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29" s="3" t="str">
        <f>_xlfn.CONCAT("https://raw.githubusercontent.com/marcelo-pascoal/Semaforos/refs/heads/main/fotos/",Tabela1[[#This Row],[id_0]],".jpg")</f>
        <v>https://raw.githubusercontent.com/marcelo-pascoal/Semaforos/refs/heads/main/fotos/602.jpg</v>
      </c>
      <c r="AE329" s="3" t="str">
        <f>_xlfn.CONCAT("https://raw.githubusercontent.com/marcelo-pascoal/Semaforos/refs/heads/main/fotosD/",Tabela1[[#This Row],[id_0]],".jpg")</f>
        <v>https://raw.githubusercontent.com/marcelo-pascoal/Semaforos/refs/heads/main/fotosD/602.jpg</v>
      </c>
      <c r="AF329" s="3">
        <v>2</v>
      </c>
    </row>
    <row r="330" spans="1:32" ht="250" customHeight="1" x14ac:dyDescent="0.35">
      <c r="A330" s="2" t="s">
        <v>1103</v>
      </c>
      <c r="B330" s="5">
        <v>603</v>
      </c>
      <c r="C330" s="2" t="s">
        <v>1112</v>
      </c>
      <c r="D330" s="1" t="s">
        <v>60</v>
      </c>
      <c r="G330" s="1" t="s">
        <v>1145</v>
      </c>
      <c r="H330" s="1" t="s">
        <v>1146</v>
      </c>
      <c r="I330" s="1" t="s">
        <v>1113</v>
      </c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 t="s">
        <v>40</v>
      </c>
      <c r="Z330" s="3"/>
      <c r="AA330" s="3" t="s">
        <v>35</v>
      </c>
      <c r="AB330" s="6" t="str">
        <f>HYPERLINK(_xlfn.CONCAT("https://www.google.com/maps/search/",Tabela1[[#This Row],[GPS]]),"##")</f>
        <v>##</v>
      </c>
      <c r="AC330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0" s="3" t="str">
        <f>_xlfn.CONCAT("https://raw.githubusercontent.com/marcelo-pascoal/Semaforos/refs/heads/main/fotos/",Tabela1[[#This Row],[id_0]],".jpg")</f>
        <v>https://raw.githubusercontent.com/marcelo-pascoal/Semaforos/refs/heads/main/fotos/603.jpg</v>
      </c>
      <c r="AE330" s="3" t="str">
        <f>_xlfn.CONCAT("https://raw.githubusercontent.com/marcelo-pascoal/Semaforos/refs/heads/main/fotosD/",Tabela1[[#This Row],[id_0]],".jpg")</f>
        <v>https://raw.githubusercontent.com/marcelo-pascoal/Semaforos/refs/heads/main/fotosD/603.jpg</v>
      </c>
      <c r="AF330" s="3">
        <v>2</v>
      </c>
    </row>
    <row r="331" spans="1:32" ht="250" customHeight="1" x14ac:dyDescent="0.35">
      <c r="A331" s="2" t="s">
        <v>1103</v>
      </c>
      <c r="B331" s="5">
        <v>604</v>
      </c>
      <c r="C331" s="2" t="s">
        <v>1114</v>
      </c>
      <c r="D331" s="1" t="s">
        <v>38</v>
      </c>
      <c r="G331" s="1" t="s">
        <v>1144</v>
      </c>
      <c r="H331" s="1" t="s">
        <v>1146</v>
      </c>
      <c r="I331" s="1" t="s">
        <v>1115</v>
      </c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 t="s">
        <v>35</v>
      </c>
      <c r="AB331" s="6" t="str">
        <f>HYPERLINK(_xlfn.CONCAT("https://www.google.com/maps/search/",Tabela1[[#This Row],[GPS]]),"##")</f>
        <v>##</v>
      </c>
      <c r="AC331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1" s="3" t="str">
        <f>_xlfn.CONCAT("https://raw.githubusercontent.com/marcelo-pascoal/Semaforos/refs/heads/main/fotos/",Tabela1[[#This Row],[id_0]],".jpg")</f>
        <v>https://raw.githubusercontent.com/marcelo-pascoal/Semaforos/refs/heads/main/fotos/604.jpg</v>
      </c>
      <c r="AE331" s="3" t="str">
        <f>_xlfn.CONCAT("https://raw.githubusercontent.com/marcelo-pascoal/Semaforos/refs/heads/main/fotosD/",Tabela1[[#This Row],[id_0]],".jpg")</f>
        <v>https://raw.githubusercontent.com/marcelo-pascoal/Semaforos/refs/heads/main/fotosD/604.jpg</v>
      </c>
      <c r="AF331" s="3">
        <v>2</v>
      </c>
    </row>
    <row r="332" spans="1:32" ht="250" customHeight="1" x14ac:dyDescent="0.35">
      <c r="A332" s="2" t="s">
        <v>1103</v>
      </c>
      <c r="B332" s="5">
        <v>605</v>
      </c>
      <c r="C332" s="2" t="s">
        <v>1116</v>
      </c>
      <c r="D332" s="1" t="s">
        <v>38</v>
      </c>
      <c r="G332" s="1" t="s">
        <v>1144</v>
      </c>
      <c r="H332" s="1" t="s">
        <v>1146</v>
      </c>
      <c r="I332" s="1" t="s">
        <v>1117</v>
      </c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 t="s">
        <v>35</v>
      </c>
      <c r="AB332" s="6" t="str">
        <f>HYPERLINK(_xlfn.CONCAT("https://www.google.com/maps/search/",Tabela1[[#This Row],[GPS]]),"##")</f>
        <v>##</v>
      </c>
      <c r="AC332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2" s="3" t="str">
        <f>_xlfn.CONCAT("https://raw.githubusercontent.com/marcelo-pascoal/Semaforos/refs/heads/main/fotos/",Tabela1[[#This Row],[id_0]],".jpg")</f>
        <v>https://raw.githubusercontent.com/marcelo-pascoal/Semaforos/refs/heads/main/fotos/605.jpg</v>
      </c>
      <c r="AE332" s="3" t="str">
        <f>_xlfn.CONCAT("https://raw.githubusercontent.com/marcelo-pascoal/Semaforos/refs/heads/main/fotosD/",Tabela1[[#This Row],[id_0]],".jpg")</f>
        <v>https://raw.githubusercontent.com/marcelo-pascoal/Semaforos/refs/heads/main/fotosD/605.jpg</v>
      </c>
      <c r="AF332" s="3">
        <v>2</v>
      </c>
    </row>
    <row r="333" spans="1:32" ht="250" customHeight="1" x14ac:dyDescent="0.35">
      <c r="A333" s="2" t="s">
        <v>1118</v>
      </c>
      <c r="B333" s="5">
        <v>608</v>
      </c>
      <c r="C333" s="2" t="s">
        <v>1119</v>
      </c>
      <c r="D333" s="1" t="s">
        <v>60</v>
      </c>
      <c r="G333" s="1" t="s">
        <v>1145</v>
      </c>
      <c r="H333" s="1" t="s">
        <v>1146</v>
      </c>
      <c r="I333" s="1" t="s">
        <v>1120</v>
      </c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 t="s">
        <v>35</v>
      </c>
      <c r="AB333" s="6" t="str">
        <f>HYPERLINK(_xlfn.CONCAT("https://www.google.com/maps/search/",Tabela1[[#This Row],[GPS]]),"##")</f>
        <v>##</v>
      </c>
      <c r="AC333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3" s="3" t="str">
        <f>_xlfn.CONCAT("https://raw.githubusercontent.com/marcelo-pascoal/Semaforos/refs/heads/main/fotos/",Tabela1[[#This Row],[id_0]],".jpg")</f>
        <v>https://raw.githubusercontent.com/marcelo-pascoal/Semaforos/refs/heads/main/fotos/608.jpg</v>
      </c>
      <c r="AE333" s="3" t="str">
        <f>_xlfn.CONCAT("https://raw.githubusercontent.com/marcelo-pascoal/Semaforos/refs/heads/main/fotosD/",Tabela1[[#This Row],[id_0]],".jpg")</f>
        <v>https://raw.githubusercontent.com/marcelo-pascoal/Semaforos/refs/heads/main/fotosD/608.jpg</v>
      </c>
      <c r="AF333" s="3">
        <v>5</v>
      </c>
    </row>
    <row r="334" spans="1:32" ht="250" customHeight="1" x14ac:dyDescent="0.35">
      <c r="A334" s="2" t="s">
        <v>1118</v>
      </c>
      <c r="B334" s="5">
        <v>609</v>
      </c>
      <c r="C334" s="2" t="s">
        <v>1121</v>
      </c>
      <c r="D334" s="1" t="s">
        <v>38</v>
      </c>
      <c r="G334" s="1" t="s">
        <v>1144</v>
      </c>
      <c r="H334" s="1" t="s">
        <v>1146</v>
      </c>
      <c r="I334" s="1" t="s">
        <v>1122</v>
      </c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 t="s">
        <v>35</v>
      </c>
      <c r="AB334" s="6" t="str">
        <f>HYPERLINK(_xlfn.CONCAT("https://www.google.com/maps/search/",Tabela1[[#This Row],[GPS]]),"##")</f>
        <v>##</v>
      </c>
      <c r="AC334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4" s="3" t="str">
        <f>_xlfn.CONCAT("https://raw.githubusercontent.com/marcelo-pascoal/Semaforos/refs/heads/main/fotos/",Tabela1[[#This Row],[id_0]],".jpg")</f>
        <v>https://raw.githubusercontent.com/marcelo-pascoal/Semaforos/refs/heads/main/fotos/609.jpg</v>
      </c>
      <c r="AE334" s="3" t="str">
        <f>_xlfn.CONCAT("https://raw.githubusercontent.com/marcelo-pascoal/Semaforos/refs/heads/main/fotosD/",Tabela1[[#This Row],[id_0]],".jpg")</f>
        <v>https://raw.githubusercontent.com/marcelo-pascoal/Semaforos/refs/heads/main/fotosD/609.jpg</v>
      </c>
      <c r="AF334" s="3">
        <v>5</v>
      </c>
    </row>
    <row r="335" spans="1:32" ht="250" customHeight="1" x14ac:dyDescent="0.35">
      <c r="A335" s="2" t="s">
        <v>1118</v>
      </c>
      <c r="B335" s="5">
        <v>610</v>
      </c>
      <c r="C335" s="2" t="s">
        <v>1123</v>
      </c>
      <c r="D335" s="1" t="s">
        <v>60</v>
      </c>
      <c r="G335" s="1" t="s">
        <v>1145</v>
      </c>
      <c r="H335" s="1" t="s">
        <v>1146</v>
      </c>
      <c r="I335" s="1" t="s">
        <v>1124</v>
      </c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 t="s">
        <v>35</v>
      </c>
      <c r="AB335" s="6" t="str">
        <f>HYPERLINK(_xlfn.CONCAT("https://www.google.com/maps/search/",Tabela1[[#This Row],[GPS]]),"##")</f>
        <v>##</v>
      </c>
      <c r="AC335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5" s="3" t="str">
        <f>_xlfn.CONCAT("https://raw.githubusercontent.com/marcelo-pascoal/Semaforos/refs/heads/main/fotos/",Tabela1[[#This Row],[id_0]],".jpg")</f>
        <v>https://raw.githubusercontent.com/marcelo-pascoal/Semaforos/refs/heads/main/fotos/610.jpg</v>
      </c>
      <c r="AE335" s="3" t="str">
        <f>_xlfn.CONCAT("https://raw.githubusercontent.com/marcelo-pascoal/Semaforos/refs/heads/main/fotosD/",Tabela1[[#This Row],[id_0]],".jpg")</f>
        <v>https://raw.githubusercontent.com/marcelo-pascoal/Semaforos/refs/heads/main/fotosD/610.jpg</v>
      </c>
      <c r="AF335" s="3">
        <v>5</v>
      </c>
    </row>
    <row r="336" spans="1:32" ht="250" customHeight="1" x14ac:dyDescent="0.35">
      <c r="A336" s="2" t="s">
        <v>1118</v>
      </c>
      <c r="B336" s="5">
        <v>611</v>
      </c>
      <c r="C336" s="2" t="s">
        <v>1125</v>
      </c>
      <c r="D336" s="1" t="s">
        <v>38</v>
      </c>
      <c r="G336" s="1" t="s">
        <v>1144</v>
      </c>
      <c r="H336" s="1" t="s">
        <v>1146</v>
      </c>
      <c r="I336" s="1" t="s">
        <v>1126</v>
      </c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 t="s">
        <v>35</v>
      </c>
      <c r="AB336" s="6" t="str">
        <f>HYPERLINK(_xlfn.CONCAT("https://www.google.com/maps/search/",Tabela1[[#This Row],[GPS]]),"##")</f>
        <v>##</v>
      </c>
      <c r="AC336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6" s="3" t="str">
        <f>_xlfn.CONCAT("https://raw.githubusercontent.com/marcelo-pascoal/Semaforos/refs/heads/main/fotos/",Tabela1[[#This Row],[id_0]],".jpg")</f>
        <v>https://raw.githubusercontent.com/marcelo-pascoal/Semaforos/refs/heads/main/fotos/611.jpg</v>
      </c>
      <c r="AE336" s="3" t="str">
        <f>_xlfn.CONCAT("https://raw.githubusercontent.com/marcelo-pascoal/Semaforos/refs/heads/main/fotosD/",Tabela1[[#This Row],[id_0]],".jpg")</f>
        <v>https://raw.githubusercontent.com/marcelo-pascoal/Semaforos/refs/heads/main/fotosD/611.jpg</v>
      </c>
      <c r="AF336" s="3">
        <v>5</v>
      </c>
    </row>
    <row r="337" spans="1:32" ht="250" customHeight="1" x14ac:dyDescent="0.35">
      <c r="A337" s="2" t="s">
        <v>1127</v>
      </c>
      <c r="B337" s="5">
        <v>612</v>
      </c>
      <c r="C337" s="2" t="s">
        <v>1128</v>
      </c>
      <c r="D337" s="1" t="s">
        <v>60</v>
      </c>
      <c r="G337" s="1" t="s">
        <v>1145</v>
      </c>
      <c r="H337" s="1" t="s">
        <v>1146</v>
      </c>
      <c r="I337" s="1" t="s">
        <v>1129</v>
      </c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 t="s">
        <v>35</v>
      </c>
      <c r="AB337" s="6" t="str">
        <f>HYPERLINK(_xlfn.CONCAT("https://www.google.com/maps/search/",Tabela1[[#This Row],[GPS]]),"##")</f>
        <v>##</v>
      </c>
      <c r="AC337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7" s="3" t="str">
        <f>_xlfn.CONCAT("https://raw.githubusercontent.com/marcelo-pascoal/Semaforos/refs/heads/main/fotos/",Tabela1[[#This Row],[id_0]],".jpg")</f>
        <v>https://raw.githubusercontent.com/marcelo-pascoal/Semaforos/refs/heads/main/fotos/612.jpg</v>
      </c>
      <c r="AE337" s="3" t="str">
        <f>_xlfn.CONCAT("https://raw.githubusercontent.com/marcelo-pascoal/Semaforos/refs/heads/main/fotosD/",Tabela1[[#This Row],[id_0]],".jpg")</f>
        <v>https://raw.githubusercontent.com/marcelo-pascoal/Semaforos/refs/heads/main/fotosD/612.jpg</v>
      </c>
      <c r="AF337" s="3">
        <v>2</v>
      </c>
    </row>
    <row r="338" spans="1:32" ht="250" customHeight="1" x14ac:dyDescent="0.35">
      <c r="A338" s="2" t="s">
        <v>1127</v>
      </c>
      <c r="B338" s="5">
        <v>613</v>
      </c>
      <c r="C338" s="2" t="s">
        <v>1130</v>
      </c>
      <c r="D338" s="1" t="s">
        <v>38</v>
      </c>
      <c r="G338" s="1" t="s">
        <v>1144</v>
      </c>
      <c r="H338" s="1" t="s">
        <v>1146</v>
      </c>
      <c r="I338" s="1" t="s">
        <v>1131</v>
      </c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 t="s">
        <v>35</v>
      </c>
      <c r="AB338" s="6" t="str">
        <f>HYPERLINK(_xlfn.CONCAT("https://www.google.com/maps/search/",Tabela1[[#This Row],[GPS]]),"##")</f>
        <v>##</v>
      </c>
      <c r="AC338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8" s="3" t="str">
        <f>_xlfn.CONCAT("https://raw.githubusercontent.com/marcelo-pascoal/Semaforos/refs/heads/main/fotos/",Tabela1[[#This Row],[id_0]],".jpg")</f>
        <v>https://raw.githubusercontent.com/marcelo-pascoal/Semaforos/refs/heads/main/fotos/613.jpg</v>
      </c>
      <c r="AE338" s="3" t="str">
        <f>_xlfn.CONCAT("https://raw.githubusercontent.com/marcelo-pascoal/Semaforos/refs/heads/main/fotosD/",Tabela1[[#This Row],[id_0]],".jpg")</f>
        <v>https://raw.githubusercontent.com/marcelo-pascoal/Semaforos/refs/heads/main/fotosD/613.jpg</v>
      </c>
      <c r="AF338" s="3">
        <v>2</v>
      </c>
    </row>
    <row r="339" spans="1:32" ht="250" customHeight="1" x14ac:dyDescent="0.35">
      <c r="A339" s="2" t="s">
        <v>1127</v>
      </c>
      <c r="B339" s="5">
        <v>614</v>
      </c>
      <c r="C339" s="2" t="s">
        <v>1132</v>
      </c>
      <c r="D339" s="1" t="s">
        <v>60</v>
      </c>
      <c r="G339" s="1" t="s">
        <v>1145</v>
      </c>
      <c r="H339" s="1" t="s">
        <v>1146</v>
      </c>
      <c r="I339" s="1" t="s">
        <v>1133</v>
      </c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 t="s">
        <v>35</v>
      </c>
      <c r="AB339" s="6" t="str">
        <f>HYPERLINK(_xlfn.CONCAT("https://www.google.com/maps/search/",Tabela1[[#This Row],[GPS]]),"##")</f>
        <v>##</v>
      </c>
      <c r="AC339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39" s="3" t="str">
        <f>_xlfn.CONCAT("https://raw.githubusercontent.com/marcelo-pascoal/Semaforos/refs/heads/main/fotos/",Tabela1[[#This Row],[id_0]],".jpg")</f>
        <v>https://raw.githubusercontent.com/marcelo-pascoal/Semaforos/refs/heads/main/fotos/614.jpg</v>
      </c>
      <c r="AE339" s="3" t="str">
        <f>_xlfn.CONCAT("https://raw.githubusercontent.com/marcelo-pascoal/Semaforos/refs/heads/main/fotosD/",Tabela1[[#This Row],[id_0]],".jpg")</f>
        <v>https://raw.githubusercontent.com/marcelo-pascoal/Semaforos/refs/heads/main/fotosD/614.jpg</v>
      </c>
      <c r="AF339" s="3">
        <v>2</v>
      </c>
    </row>
    <row r="340" spans="1:32" ht="250" customHeight="1" x14ac:dyDescent="0.35">
      <c r="A340" s="2" t="s">
        <v>1127</v>
      </c>
      <c r="B340" s="5">
        <v>615</v>
      </c>
      <c r="C340" s="2" t="s">
        <v>1134</v>
      </c>
      <c r="D340" s="1" t="s">
        <v>38</v>
      </c>
      <c r="G340" s="1" t="s">
        <v>1144</v>
      </c>
      <c r="H340" s="1" t="s">
        <v>1146</v>
      </c>
      <c r="I340" s="1" t="s">
        <v>1135</v>
      </c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 t="s">
        <v>35</v>
      </c>
      <c r="AB340" s="6" t="str">
        <f>HYPERLINK(_xlfn.CONCAT("https://www.google.com/maps/search/",Tabela1[[#This Row],[GPS]]),"##")</f>
        <v>##</v>
      </c>
      <c r="AC340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40" s="3" t="str">
        <f>_xlfn.CONCAT("https://raw.githubusercontent.com/marcelo-pascoal/Semaforos/refs/heads/main/fotos/",Tabela1[[#This Row],[id_0]],".jpg")</f>
        <v>https://raw.githubusercontent.com/marcelo-pascoal/Semaforos/refs/heads/main/fotos/615.jpg</v>
      </c>
      <c r="AE340" s="3" t="str">
        <f>_xlfn.CONCAT("https://raw.githubusercontent.com/marcelo-pascoal/Semaforos/refs/heads/main/fotosD/",Tabela1[[#This Row],[id_0]],".jpg")</f>
        <v>https://raw.githubusercontent.com/marcelo-pascoal/Semaforos/refs/heads/main/fotosD/615.jpg</v>
      </c>
      <c r="AF340" s="3">
        <v>2</v>
      </c>
    </row>
    <row r="341" spans="1:32" ht="250" customHeight="1" x14ac:dyDescent="0.35">
      <c r="A341" s="2" t="s">
        <v>1136</v>
      </c>
      <c r="B341" s="5">
        <v>616</v>
      </c>
      <c r="C341" s="2" t="s">
        <v>1137</v>
      </c>
      <c r="D341" s="1" t="s">
        <v>1044</v>
      </c>
      <c r="G341" s="1" t="s">
        <v>1144</v>
      </c>
      <c r="H341" s="1" t="s">
        <v>1044</v>
      </c>
      <c r="I341" s="1" t="s">
        <v>1138</v>
      </c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 t="s">
        <v>40</v>
      </c>
      <c r="Z341" s="3"/>
      <c r="AA341" s="3" t="s">
        <v>233</v>
      </c>
      <c r="AB341" s="6" t="str">
        <f>HYPERLINK(_xlfn.CONCAT("https://www.google.com/maps/search/",Tabela1[[#This Row],[GPS]]),"##")</f>
        <v>##</v>
      </c>
      <c r="AC341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41" s="3" t="str">
        <f>_xlfn.CONCAT("https://raw.githubusercontent.com/marcelo-pascoal/Semaforos/refs/heads/main/fotos/",Tabela1[[#This Row],[id_0]],".jpg")</f>
        <v>https://raw.githubusercontent.com/marcelo-pascoal/Semaforos/refs/heads/main/fotos/616.jpg</v>
      </c>
      <c r="AE341" s="3" t="str">
        <f>_xlfn.CONCAT("https://raw.githubusercontent.com/marcelo-pascoal/Semaforos/refs/heads/main/fotosD/",Tabela1[[#This Row],[id_0]],".jpg")</f>
        <v>https://raw.githubusercontent.com/marcelo-pascoal/Semaforos/refs/heads/main/fotosD/616.jpg</v>
      </c>
      <c r="AF341" s="3">
        <v>5</v>
      </c>
    </row>
    <row r="342" spans="1:32" ht="250" customHeight="1" x14ac:dyDescent="0.35">
      <c r="A342" s="2" t="s">
        <v>1139</v>
      </c>
      <c r="B342" s="5">
        <v>617</v>
      </c>
      <c r="C342" s="2" t="s">
        <v>1140</v>
      </c>
      <c r="D342" s="1" t="s">
        <v>38</v>
      </c>
      <c r="G342" s="1" t="s">
        <v>1144</v>
      </c>
      <c r="H342" s="1" t="s">
        <v>1146</v>
      </c>
      <c r="I342" s="1" t="s">
        <v>1141</v>
      </c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 t="s">
        <v>40</v>
      </c>
      <c r="Z342" s="3"/>
      <c r="AA342" s="3" t="s">
        <v>233</v>
      </c>
      <c r="AB342" s="6" t="str">
        <f>HYPERLINK(_xlfn.CONCAT("https://www.google.com/maps/search/",Tabela1[[#This Row],[GPS]]),"##")</f>
        <v>##</v>
      </c>
      <c r="AC342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42" s="3" t="str">
        <f>_xlfn.CONCAT("https://raw.githubusercontent.com/marcelo-pascoal/Semaforos/refs/heads/main/fotos/",Tabela1[[#This Row],[id_0]],".jpg")</f>
        <v>https://raw.githubusercontent.com/marcelo-pascoal/Semaforos/refs/heads/main/fotos/617.jpg</v>
      </c>
      <c r="AE342" s="3" t="str">
        <f>_xlfn.CONCAT("https://raw.githubusercontent.com/marcelo-pascoal/Semaforos/refs/heads/main/fotosD/",Tabela1[[#This Row],[id_0]],".jpg")</f>
        <v>https://raw.githubusercontent.com/marcelo-pascoal/Semaforos/refs/heads/main/fotosD/617.jpg</v>
      </c>
      <c r="AF342" s="3">
        <v>2</v>
      </c>
    </row>
    <row r="343" spans="1:32" ht="250" customHeight="1" x14ac:dyDescent="0.35">
      <c r="A343" s="2" t="s">
        <v>1139</v>
      </c>
      <c r="B343" s="5">
        <v>618</v>
      </c>
      <c r="C343" s="2" t="s">
        <v>1142</v>
      </c>
      <c r="D343" s="1" t="s">
        <v>38</v>
      </c>
      <c r="G343" s="1" t="s">
        <v>1144</v>
      </c>
      <c r="H343" s="1" t="s">
        <v>1146</v>
      </c>
      <c r="I343" s="1" t="s">
        <v>1143</v>
      </c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6" t="str">
        <f>HYPERLINK(_xlfn.CONCAT("https://www.google.com/maps/search/",Tabela1[[#This Row],[GPS]]),"##")</f>
        <v>##</v>
      </c>
      <c r="AC343" s="3" t="str">
        <f>_xlfn.CONCAT("https://raw.githubusercontent.com/marcelo-pascoal/Semaforos/refs/heads/main/fotosD/",Tabela1[[#This Row],[Foto1]])</f>
        <v>https://raw.githubusercontent.com/marcelo-pascoal/Semaforos/refs/heads/main/fotosD/</v>
      </c>
      <c r="AD343" s="3" t="str">
        <f>_xlfn.CONCAT("https://raw.githubusercontent.com/marcelo-pascoal/Semaforos/refs/heads/main/fotos/",Tabela1[[#This Row],[id_0]],".jpg")</f>
        <v>https://raw.githubusercontent.com/marcelo-pascoal/Semaforos/refs/heads/main/fotos/618.jpg</v>
      </c>
      <c r="AE343" s="3" t="str">
        <f>_xlfn.CONCAT("https://raw.githubusercontent.com/marcelo-pascoal/Semaforos/refs/heads/main/fotosD/",Tabela1[[#This Row],[id_0]],".jpg")</f>
        <v>https://raw.githubusercontent.com/marcelo-pascoal/Semaforos/refs/heads/main/fotosD/618.jpg</v>
      </c>
      <c r="AF343" s="3">
        <v>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8DF32-3AA0-46D9-A89E-202BE6CE7312}">
  <sheetPr codeName="Folha2"/>
  <dimension ref="A1:H344"/>
  <sheetViews>
    <sheetView topLeftCell="A142" workbookViewId="0">
      <selection activeCell="H159" sqref="A159:H159"/>
    </sheetView>
  </sheetViews>
  <sheetFormatPr defaultRowHeight="14.5" x14ac:dyDescent="0.35"/>
  <sheetData>
    <row r="1" spans="1:8" x14ac:dyDescent="0.35">
      <c r="A1" t="s">
        <v>1168</v>
      </c>
      <c r="F1" t="str">
        <f>RIGHT(A1, (LEN(A1)+4)-FIND(".jpg", A1))</f>
        <v>100.jpg</v>
      </c>
      <c r="G1">
        <f>_xlfn.NUMBERVALUE(IF(ISERROR(FIND(" ",F1)), LEFT(F1, 3), LEFT(RIGHT(F1,6), 2)))</f>
        <v>100</v>
      </c>
      <c r="H1" cm="1">
        <f t="array" ref="H1">_xlfn._xlws.FILTER(Folha1!B:B,Folha1!B:B=Folha2!G1)</f>
        <v>100</v>
      </c>
    </row>
    <row r="2" spans="1:8" x14ac:dyDescent="0.35">
      <c r="A2" t="s">
        <v>1169</v>
      </c>
      <c r="F2" t="str">
        <f t="shared" ref="F2:F65" si="0">RIGHT(A2, (LEN(A2)+4)-FIND(".jpg", A2))</f>
        <v>101.jpg</v>
      </c>
      <c r="G2">
        <f t="shared" ref="G2:G65" si="1">_xlfn.NUMBERVALUE(IF(ISERROR(FIND(" ",F2)), LEFT(F2, 3), LEFT(RIGHT(F2,6), 2)))</f>
        <v>101</v>
      </c>
      <c r="H2" cm="1">
        <f t="array" ref="H2">_xlfn._xlws.FILTER(Folha1!B:B,Folha1!B:B=Folha2!G2)</f>
        <v>101</v>
      </c>
    </row>
    <row r="3" spans="1:8" x14ac:dyDescent="0.35">
      <c r="A3" t="s">
        <v>1170</v>
      </c>
      <c r="F3" t="str">
        <f t="shared" si="0"/>
        <v>102.jpg</v>
      </c>
      <c r="G3">
        <f t="shared" si="1"/>
        <v>102</v>
      </c>
      <c r="H3" cm="1">
        <f t="array" ref="H3">_xlfn._xlws.FILTER(Folha1!B:B,Folha1!B:B=Folha2!G3)</f>
        <v>102</v>
      </c>
    </row>
    <row r="4" spans="1:8" x14ac:dyDescent="0.35">
      <c r="A4" t="s">
        <v>1171</v>
      </c>
      <c r="F4" t="str">
        <f t="shared" si="0"/>
        <v>103.jpg</v>
      </c>
      <c r="G4">
        <f t="shared" si="1"/>
        <v>103</v>
      </c>
      <c r="H4" cm="1">
        <f t="array" ref="H4">_xlfn._xlws.FILTER(Folha1!B:B,Folha1!B:B=Folha2!G4)</f>
        <v>103</v>
      </c>
    </row>
    <row r="5" spans="1:8" x14ac:dyDescent="0.35">
      <c r="A5" t="s">
        <v>1172</v>
      </c>
      <c r="F5" t="str">
        <f t="shared" si="0"/>
        <v>104.jpg</v>
      </c>
      <c r="G5">
        <f t="shared" si="1"/>
        <v>104</v>
      </c>
      <c r="H5" cm="1">
        <f t="array" ref="H5">_xlfn._xlws.FILTER(Folha1!B:B,Folha1!B:B=Folha2!G5)</f>
        <v>104</v>
      </c>
    </row>
    <row r="6" spans="1:8" x14ac:dyDescent="0.35">
      <c r="A6" t="s">
        <v>1173</v>
      </c>
      <c r="F6" t="str">
        <f t="shared" si="0"/>
        <v>105.jpg</v>
      </c>
      <c r="G6">
        <f t="shared" si="1"/>
        <v>105</v>
      </c>
      <c r="H6" cm="1">
        <f t="array" ref="H6">_xlfn._xlws.FILTER(Folha1!B:B,Folha1!B:B=Folha2!G6)</f>
        <v>105</v>
      </c>
    </row>
    <row r="7" spans="1:8" x14ac:dyDescent="0.35">
      <c r="A7" t="s">
        <v>1174</v>
      </c>
      <c r="F7" t="str">
        <f t="shared" si="0"/>
        <v>106.jpg</v>
      </c>
      <c r="G7">
        <f t="shared" si="1"/>
        <v>106</v>
      </c>
      <c r="H7" cm="1">
        <f t="array" ref="H7">_xlfn._xlws.FILTER(Folha1!B:B,Folha1!B:B=Folha2!G7)</f>
        <v>106</v>
      </c>
    </row>
    <row r="8" spans="1:8" x14ac:dyDescent="0.35">
      <c r="A8" t="s">
        <v>1175</v>
      </c>
      <c r="F8" t="str">
        <f t="shared" si="0"/>
        <v>107.jpg</v>
      </c>
      <c r="G8">
        <f t="shared" si="1"/>
        <v>107</v>
      </c>
      <c r="H8" cm="1">
        <f t="array" ref="H8">_xlfn._xlws.FILTER(Folha1!B:B,Folha1!B:B=Folha2!G8)</f>
        <v>107</v>
      </c>
    </row>
    <row r="9" spans="1:8" x14ac:dyDescent="0.35">
      <c r="A9" t="s">
        <v>1176</v>
      </c>
      <c r="F9" t="str">
        <f t="shared" si="0"/>
        <v>108.jpg</v>
      </c>
      <c r="G9">
        <f t="shared" si="1"/>
        <v>108</v>
      </c>
      <c r="H9" cm="1">
        <f t="array" ref="H9">_xlfn._xlws.FILTER(Folha1!B:B,Folha1!B:B=Folha2!G9)</f>
        <v>108</v>
      </c>
    </row>
    <row r="10" spans="1:8" x14ac:dyDescent="0.35">
      <c r="A10" t="s">
        <v>1177</v>
      </c>
      <c r="F10" t="str">
        <f t="shared" si="0"/>
        <v>109.jpg</v>
      </c>
      <c r="G10">
        <f t="shared" si="1"/>
        <v>109</v>
      </c>
      <c r="H10" cm="1">
        <f t="array" ref="H10">_xlfn._xlws.FILTER(Folha1!B:B,Folha1!B:B=Folha2!G10)</f>
        <v>109</v>
      </c>
    </row>
    <row r="11" spans="1:8" x14ac:dyDescent="0.35">
      <c r="A11" t="s">
        <v>1178</v>
      </c>
      <c r="F11" t="str">
        <f t="shared" si="0"/>
        <v>110.jpg</v>
      </c>
      <c r="G11">
        <f t="shared" si="1"/>
        <v>110</v>
      </c>
      <c r="H11" cm="1">
        <f t="array" ref="H11">_xlfn._xlws.FILTER(Folha1!B:B,Folha1!B:B=Folha2!G11)</f>
        <v>110</v>
      </c>
    </row>
    <row r="12" spans="1:8" x14ac:dyDescent="0.35">
      <c r="A12" t="s">
        <v>1179</v>
      </c>
      <c r="F12" t="str">
        <f t="shared" si="0"/>
        <v>111.jpg</v>
      </c>
      <c r="G12">
        <f t="shared" si="1"/>
        <v>111</v>
      </c>
      <c r="H12" cm="1">
        <f t="array" ref="H12">_xlfn._xlws.FILTER(Folha1!B:B,Folha1!B:B=Folha2!G12)</f>
        <v>111</v>
      </c>
    </row>
    <row r="13" spans="1:8" x14ac:dyDescent="0.35">
      <c r="A13" t="s">
        <v>1180</v>
      </c>
      <c r="F13" t="str">
        <f t="shared" si="0"/>
        <v>112.jpg</v>
      </c>
      <c r="G13">
        <f t="shared" si="1"/>
        <v>112</v>
      </c>
      <c r="H13" cm="1">
        <f t="array" ref="H13">_xlfn._xlws.FILTER(Folha1!B:B,Folha1!B:B=Folha2!G13)</f>
        <v>112</v>
      </c>
    </row>
    <row r="14" spans="1:8" x14ac:dyDescent="0.35">
      <c r="A14" t="s">
        <v>1181</v>
      </c>
      <c r="F14" t="str">
        <f t="shared" si="0"/>
        <v>141.jpg</v>
      </c>
      <c r="G14">
        <f t="shared" si="1"/>
        <v>141</v>
      </c>
      <c r="H14" cm="1">
        <f t="array" ref="H14">_xlfn._xlws.FILTER(Folha1!B:B,Folha1!B:B=Folha2!G14)</f>
        <v>141</v>
      </c>
    </row>
    <row r="15" spans="1:8" x14ac:dyDescent="0.35">
      <c r="A15" t="s">
        <v>1182</v>
      </c>
      <c r="F15" t="str">
        <f t="shared" si="0"/>
        <v>142.jpg</v>
      </c>
      <c r="G15">
        <f t="shared" si="1"/>
        <v>142</v>
      </c>
      <c r="H15" cm="1">
        <f t="array" ref="H15">_xlfn._xlws.FILTER(Folha1!B:B,Folha1!B:B=Folha2!G15)</f>
        <v>142</v>
      </c>
    </row>
    <row r="16" spans="1:8" x14ac:dyDescent="0.35">
      <c r="A16" t="s">
        <v>1183</v>
      </c>
      <c r="F16" t="str">
        <f t="shared" si="0"/>
        <v>143.jpg</v>
      </c>
      <c r="G16">
        <f t="shared" si="1"/>
        <v>143</v>
      </c>
      <c r="H16" cm="1">
        <f t="array" ref="H16">_xlfn._xlws.FILTER(Folha1!B:B,Folha1!B:B=Folha2!G16)</f>
        <v>143</v>
      </c>
    </row>
    <row r="17" spans="1:8" x14ac:dyDescent="0.35">
      <c r="A17" t="s">
        <v>1184</v>
      </c>
      <c r="F17" t="str">
        <f t="shared" si="0"/>
        <v>144.jpg</v>
      </c>
      <c r="G17">
        <f t="shared" si="1"/>
        <v>144</v>
      </c>
      <c r="H17" cm="1">
        <f t="array" ref="H17">_xlfn._xlws.FILTER(Folha1!B:B,Folha1!B:B=Folha2!G17)</f>
        <v>144</v>
      </c>
    </row>
    <row r="18" spans="1:8" x14ac:dyDescent="0.35">
      <c r="A18" t="s">
        <v>1185</v>
      </c>
      <c r="F18" t="str">
        <f t="shared" si="0"/>
        <v>145.jpg</v>
      </c>
      <c r="G18">
        <f t="shared" si="1"/>
        <v>145</v>
      </c>
      <c r="H18" cm="1">
        <f t="array" ref="H18">_xlfn._xlws.FILTER(Folha1!B:B,Folha1!B:B=Folha2!G18)</f>
        <v>145</v>
      </c>
    </row>
    <row r="19" spans="1:8" x14ac:dyDescent="0.35">
      <c r="A19" t="s">
        <v>1186</v>
      </c>
      <c r="F19" t="str">
        <f t="shared" si="0"/>
        <v>146.jpg</v>
      </c>
      <c r="G19">
        <f t="shared" si="1"/>
        <v>146</v>
      </c>
      <c r="H19" cm="1">
        <f t="array" ref="H19">_xlfn._xlws.FILTER(Folha1!B:B,Folha1!B:B=Folha2!G19)</f>
        <v>146</v>
      </c>
    </row>
    <row r="20" spans="1:8" x14ac:dyDescent="0.35">
      <c r="A20" t="s">
        <v>1187</v>
      </c>
      <c r="F20" t="str">
        <f t="shared" si="0"/>
        <v>147.jpg</v>
      </c>
      <c r="G20">
        <f t="shared" si="1"/>
        <v>147</v>
      </c>
      <c r="H20" cm="1">
        <f t="array" ref="H20">_xlfn._xlws.FILTER(Folha1!B:B,Folha1!B:B=Folha2!G20)</f>
        <v>147</v>
      </c>
    </row>
    <row r="21" spans="1:8" x14ac:dyDescent="0.35">
      <c r="A21" t="s">
        <v>1188</v>
      </c>
      <c r="F21" t="str">
        <f t="shared" si="0"/>
        <v>148.jpg</v>
      </c>
      <c r="G21">
        <f t="shared" si="1"/>
        <v>148</v>
      </c>
      <c r="H21" cm="1">
        <f t="array" ref="H21">_xlfn._xlws.FILTER(Folha1!B:B,Folha1!B:B=Folha2!G21)</f>
        <v>148</v>
      </c>
    </row>
    <row r="22" spans="1:8" x14ac:dyDescent="0.35">
      <c r="A22" t="s">
        <v>1189</v>
      </c>
      <c r="F22" t="str">
        <f t="shared" si="0"/>
        <v>149.jpg</v>
      </c>
      <c r="G22">
        <f t="shared" si="1"/>
        <v>149</v>
      </c>
      <c r="H22" cm="1">
        <f t="array" ref="H22">_xlfn._xlws.FILTER(Folha1!B:B,Folha1!B:B=Folha2!G22)</f>
        <v>149</v>
      </c>
    </row>
    <row r="23" spans="1:8" x14ac:dyDescent="0.35">
      <c r="A23" t="s">
        <v>1190</v>
      </c>
      <c r="F23" t="str">
        <f t="shared" si="0"/>
        <v>150.jpg</v>
      </c>
      <c r="G23">
        <f t="shared" si="1"/>
        <v>150</v>
      </c>
      <c r="H23" cm="1">
        <f t="array" ref="H23">_xlfn._xlws.FILTER(Folha1!B:B,Folha1!B:B=Folha2!G23)</f>
        <v>150</v>
      </c>
    </row>
    <row r="24" spans="1:8" x14ac:dyDescent="0.35">
      <c r="A24" t="s">
        <v>1191</v>
      </c>
      <c r="F24" t="str">
        <f t="shared" si="0"/>
        <v>151.jpg</v>
      </c>
      <c r="G24">
        <f t="shared" si="1"/>
        <v>151</v>
      </c>
      <c r="H24" cm="1">
        <f t="array" ref="H24">_xlfn._xlws.FILTER(Folha1!B:B,Folha1!B:B=Folha2!G24)</f>
        <v>151</v>
      </c>
    </row>
    <row r="25" spans="1:8" x14ac:dyDescent="0.35">
      <c r="A25" t="s">
        <v>1192</v>
      </c>
      <c r="F25" t="str">
        <f t="shared" si="0"/>
        <v>152.jpg</v>
      </c>
      <c r="G25">
        <f t="shared" si="1"/>
        <v>152</v>
      </c>
      <c r="H25" cm="1">
        <f t="array" ref="H25">_xlfn._xlws.FILTER(Folha1!B:B,Folha1!B:B=Folha2!G25)</f>
        <v>152</v>
      </c>
    </row>
    <row r="26" spans="1:8" x14ac:dyDescent="0.35">
      <c r="A26" t="s">
        <v>1193</v>
      </c>
      <c r="F26" t="str">
        <f t="shared" si="0"/>
        <v>153.jpg</v>
      </c>
      <c r="G26">
        <f t="shared" si="1"/>
        <v>153</v>
      </c>
      <c r="H26" cm="1">
        <f t="array" ref="H26">_xlfn._xlws.FILTER(Folha1!B:B,Folha1!B:B=Folha2!G26)</f>
        <v>153</v>
      </c>
    </row>
    <row r="27" spans="1:8" x14ac:dyDescent="0.35">
      <c r="A27" t="s">
        <v>1194</v>
      </c>
      <c r="F27" t="str">
        <f t="shared" si="0"/>
        <v>154.jpg</v>
      </c>
      <c r="G27">
        <f t="shared" si="1"/>
        <v>154</v>
      </c>
      <c r="H27" cm="1">
        <f t="array" ref="H27">_xlfn._xlws.FILTER(Folha1!B:B,Folha1!B:B=Folha2!G27)</f>
        <v>154</v>
      </c>
    </row>
    <row r="28" spans="1:8" x14ac:dyDescent="0.35">
      <c r="A28" t="s">
        <v>1195</v>
      </c>
      <c r="F28" t="str">
        <f t="shared" si="0"/>
        <v>155.jpg</v>
      </c>
      <c r="G28">
        <f t="shared" si="1"/>
        <v>155</v>
      </c>
      <c r="H28" cm="1">
        <f t="array" ref="H28">_xlfn._xlws.FILTER(Folha1!B:B,Folha1!B:B=Folha2!G28)</f>
        <v>155</v>
      </c>
    </row>
    <row r="29" spans="1:8" x14ac:dyDescent="0.35">
      <c r="A29" t="s">
        <v>1196</v>
      </c>
      <c r="F29" t="str">
        <f t="shared" si="0"/>
        <v>156.jpg</v>
      </c>
      <c r="G29">
        <f t="shared" si="1"/>
        <v>156</v>
      </c>
      <c r="H29" cm="1">
        <f t="array" ref="H29">_xlfn._xlws.FILTER(Folha1!B:B,Folha1!B:B=Folha2!G29)</f>
        <v>156</v>
      </c>
    </row>
    <row r="30" spans="1:8" x14ac:dyDescent="0.35">
      <c r="A30" t="s">
        <v>1197</v>
      </c>
      <c r="F30" t="str">
        <f t="shared" si="0"/>
        <v>157.jpg</v>
      </c>
      <c r="G30">
        <f t="shared" si="1"/>
        <v>157</v>
      </c>
      <c r="H30" cm="1">
        <f t="array" ref="H30">_xlfn._xlws.FILTER(Folha1!B:B,Folha1!B:B=Folha2!G30)</f>
        <v>157</v>
      </c>
    </row>
    <row r="31" spans="1:8" x14ac:dyDescent="0.35">
      <c r="A31" t="s">
        <v>1198</v>
      </c>
      <c r="F31" t="str">
        <f t="shared" si="0"/>
        <v>158.jpg</v>
      </c>
      <c r="G31">
        <f t="shared" si="1"/>
        <v>158</v>
      </c>
      <c r="H31" cm="1">
        <f t="array" ref="H31">_xlfn._xlws.FILTER(Folha1!B:B,Folha1!B:B=Folha2!G31)</f>
        <v>158</v>
      </c>
    </row>
    <row r="32" spans="1:8" x14ac:dyDescent="0.35">
      <c r="A32" t="s">
        <v>1199</v>
      </c>
      <c r="F32" t="str">
        <f t="shared" si="0"/>
        <v>159.jpg</v>
      </c>
      <c r="G32">
        <f t="shared" si="1"/>
        <v>159</v>
      </c>
      <c r="H32" cm="1">
        <f t="array" ref="H32">_xlfn._xlws.FILTER(Folha1!B:B,Folha1!B:B=Folha2!G32)</f>
        <v>159</v>
      </c>
    </row>
    <row r="33" spans="1:8" x14ac:dyDescent="0.35">
      <c r="A33" t="s">
        <v>1200</v>
      </c>
      <c r="F33" t="str">
        <f t="shared" si="0"/>
        <v>160.jpg</v>
      </c>
      <c r="G33">
        <f t="shared" si="1"/>
        <v>160</v>
      </c>
      <c r="H33" cm="1">
        <f t="array" ref="H33">_xlfn._xlws.FILTER(Folha1!B:B,Folha1!B:B=Folha2!G33)</f>
        <v>160</v>
      </c>
    </row>
    <row r="34" spans="1:8" x14ac:dyDescent="0.35">
      <c r="A34" t="s">
        <v>1201</v>
      </c>
      <c r="F34" t="str">
        <f t="shared" si="0"/>
        <v>161.jpg</v>
      </c>
      <c r="G34">
        <f t="shared" si="1"/>
        <v>161</v>
      </c>
      <c r="H34" cm="1">
        <f t="array" ref="H34">_xlfn._xlws.FILTER(Folha1!B:B,Folha1!B:B=Folha2!G34)</f>
        <v>161</v>
      </c>
    </row>
    <row r="35" spans="1:8" x14ac:dyDescent="0.35">
      <c r="A35" t="s">
        <v>1202</v>
      </c>
      <c r="F35" t="str">
        <f t="shared" si="0"/>
        <v>162.jpg</v>
      </c>
      <c r="G35">
        <f t="shared" si="1"/>
        <v>162</v>
      </c>
      <c r="H35" cm="1">
        <f t="array" ref="H35">_xlfn._xlws.FILTER(Folha1!B:B,Folha1!B:B=Folha2!G35)</f>
        <v>162</v>
      </c>
    </row>
    <row r="36" spans="1:8" x14ac:dyDescent="0.35">
      <c r="A36" t="s">
        <v>1203</v>
      </c>
      <c r="F36" t="str">
        <f t="shared" si="0"/>
        <v>163.jpg</v>
      </c>
      <c r="G36">
        <f t="shared" si="1"/>
        <v>163</v>
      </c>
      <c r="H36" cm="1">
        <f t="array" ref="H36">_xlfn._xlws.FILTER(Folha1!B:B,Folha1!B:B=Folha2!G36)</f>
        <v>163</v>
      </c>
    </row>
    <row r="37" spans="1:8" x14ac:dyDescent="0.35">
      <c r="A37" t="s">
        <v>1204</v>
      </c>
      <c r="F37" t="str">
        <f t="shared" si="0"/>
        <v>164.jpg</v>
      </c>
      <c r="G37">
        <f t="shared" si="1"/>
        <v>164</v>
      </c>
      <c r="H37" cm="1">
        <f t="array" ref="H37">_xlfn._xlws.FILTER(Folha1!B:B,Folha1!B:B=Folha2!G37)</f>
        <v>164</v>
      </c>
    </row>
    <row r="38" spans="1:8" x14ac:dyDescent="0.35">
      <c r="A38" t="s">
        <v>1205</v>
      </c>
      <c r="F38" t="str">
        <f t="shared" si="0"/>
        <v>165.jpg</v>
      </c>
      <c r="G38">
        <f t="shared" si="1"/>
        <v>165</v>
      </c>
      <c r="H38" cm="1">
        <f t="array" ref="H38">_xlfn._xlws.FILTER(Folha1!B:B,Folha1!B:B=Folha2!G38)</f>
        <v>165</v>
      </c>
    </row>
    <row r="39" spans="1:8" x14ac:dyDescent="0.35">
      <c r="A39" t="s">
        <v>1206</v>
      </c>
      <c r="F39" t="str">
        <f t="shared" si="0"/>
        <v>166.jpg</v>
      </c>
      <c r="G39">
        <f t="shared" si="1"/>
        <v>166</v>
      </c>
      <c r="H39" cm="1">
        <f t="array" ref="H39">_xlfn._xlws.FILTER(Folha1!B:B,Folha1!B:B=Folha2!G39)</f>
        <v>166</v>
      </c>
    </row>
    <row r="40" spans="1:8" x14ac:dyDescent="0.35">
      <c r="A40" t="s">
        <v>1207</v>
      </c>
      <c r="F40" t="str">
        <f t="shared" si="0"/>
        <v>167.jpg</v>
      </c>
      <c r="G40">
        <f t="shared" si="1"/>
        <v>167</v>
      </c>
      <c r="H40" cm="1">
        <f t="array" ref="H40">_xlfn._xlws.FILTER(Folha1!B:B,Folha1!B:B=Folha2!G40)</f>
        <v>167</v>
      </c>
    </row>
    <row r="41" spans="1:8" x14ac:dyDescent="0.35">
      <c r="A41" t="s">
        <v>1208</v>
      </c>
      <c r="F41" t="str">
        <f t="shared" si="0"/>
        <v>168.jpg</v>
      </c>
      <c r="G41">
        <f t="shared" si="1"/>
        <v>168</v>
      </c>
      <c r="H41" cm="1">
        <f t="array" ref="H41">_xlfn._xlws.FILTER(Folha1!B:B,Folha1!B:B=Folha2!G41)</f>
        <v>168</v>
      </c>
    </row>
    <row r="42" spans="1:8" x14ac:dyDescent="0.35">
      <c r="A42" t="s">
        <v>1209</v>
      </c>
      <c r="F42" t="str">
        <f t="shared" si="0"/>
        <v>169.jpg</v>
      </c>
      <c r="G42">
        <f t="shared" si="1"/>
        <v>169</v>
      </c>
      <c r="H42" cm="1">
        <f t="array" ref="H42">_xlfn._xlws.FILTER(Folha1!B:B,Folha1!B:B=Folha2!G42)</f>
        <v>169</v>
      </c>
    </row>
    <row r="43" spans="1:8" x14ac:dyDescent="0.35">
      <c r="A43" t="s">
        <v>1210</v>
      </c>
      <c r="F43" t="str">
        <f t="shared" si="0"/>
        <v>170.jpg</v>
      </c>
      <c r="G43">
        <f t="shared" si="1"/>
        <v>170</v>
      </c>
      <c r="H43" cm="1">
        <f t="array" ref="H43">_xlfn._xlws.FILTER(Folha1!B:B,Folha1!B:B=Folha2!G43)</f>
        <v>170</v>
      </c>
    </row>
    <row r="44" spans="1:8" x14ac:dyDescent="0.35">
      <c r="A44" t="s">
        <v>1211</v>
      </c>
      <c r="F44" t="str">
        <f t="shared" si="0"/>
        <v>171.jpg</v>
      </c>
      <c r="G44">
        <f t="shared" si="1"/>
        <v>171</v>
      </c>
      <c r="H44" cm="1">
        <f t="array" ref="H44">_xlfn._xlws.FILTER(Folha1!B:B,Folha1!B:B=Folha2!G44)</f>
        <v>171</v>
      </c>
    </row>
    <row r="45" spans="1:8" x14ac:dyDescent="0.35">
      <c r="A45" t="s">
        <v>1212</v>
      </c>
      <c r="F45" t="str">
        <f t="shared" si="0"/>
        <v>172.jpg</v>
      </c>
      <c r="G45">
        <f t="shared" si="1"/>
        <v>172</v>
      </c>
      <c r="H45" cm="1">
        <f t="array" ref="H45">_xlfn._xlws.FILTER(Folha1!B:B,Folha1!B:B=Folha2!G45)</f>
        <v>172</v>
      </c>
    </row>
    <row r="46" spans="1:8" x14ac:dyDescent="0.35">
      <c r="A46" t="s">
        <v>1213</v>
      </c>
      <c r="F46" t="str">
        <f t="shared" si="0"/>
        <v>173.jpg</v>
      </c>
      <c r="G46">
        <f t="shared" si="1"/>
        <v>173</v>
      </c>
      <c r="H46" cm="1">
        <f t="array" ref="H46">_xlfn._xlws.FILTER(Folha1!B:B,Folha1!B:B=Folha2!G46)</f>
        <v>173</v>
      </c>
    </row>
    <row r="47" spans="1:8" x14ac:dyDescent="0.35">
      <c r="A47" t="s">
        <v>1214</v>
      </c>
      <c r="F47" t="str">
        <f t="shared" si="0"/>
        <v>174.jpg</v>
      </c>
      <c r="G47">
        <f t="shared" si="1"/>
        <v>174</v>
      </c>
      <c r="H47" cm="1">
        <f t="array" ref="H47">_xlfn._xlws.FILTER(Folha1!B:B,Folha1!B:B=Folha2!G47)</f>
        <v>174</v>
      </c>
    </row>
    <row r="48" spans="1:8" x14ac:dyDescent="0.35">
      <c r="A48" t="s">
        <v>1215</v>
      </c>
      <c r="F48" t="str">
        <f t="shared" si="0"/>
        <v>175.jpg</v>
      </c>
      <c r="G48">
        <f t="shared" si="1"/>
        <v>175</v>
      </c>
      <c r="H48" cm="1">
        <f t="array" ref="H48">_xlfn._xlws.FILTER(Folha1!B:B,Folha1!B:B=Folha2!G48)</f>
        <v>175</v>
      </c>
    </row>
    <row r="49" spans="1:8" x14ac:dyDescent="0.35">
      <c r="A49" t="s">
        <v>1216</v>
      </c>
      <c r="F49" t="str">
        <f t="shared" si="0"/>
        <v>176.jpg</v>
      </c>
      <c r="G49">
        <f t="shared" si="1"/>
        <v>176</v>
      </c>
      <c r="H49" cm="1">
        <f t="array" ref="H49">_xlfn._xlws.FILTER(Folha1!B:B,Folha1!B:B=Folha2!G49)</f>
        <v>176</v>
      </c>
    </row>
    <row r="50" spans="1:8" x14ac:dyDescent="0.35">
      <c r="A50" t="s">
        <v>1217</v>
      </c>
      <c r="F50" t="str">
        <f t="shared" si="0"/>
        <v>177.jpg</v>
      </c>
      <c r="G50">
        <f t="shared" si="1"/>
        <v>177</v>
      </c>
      <c r="H50" cm="1">
        <f t="array" ref="H50">_xlfn._xlws.FILTER(Folha1!B:B,Folha1!B:B=Folha2!G50)</f>
        <v>177</v>
      </c>
    </row>
    <row r="51" spans="1:8" x14ac:dyDescent="0.35">
      <c r="A51" t="s">
        <v>1218</v>
      </c>
      <c r="F51" t="str">
        <f t="shared" si="0"/>
        <v>178.jpg</v>
      </c>
      <c r="G51">
        <f t="shared" si="1"/>
        <v>178</v>
      </c>
      <c r="H51" cm="1">
        <f t="array" ref="H51">_xlfn._xlws.FILTER(Folha1!B:B,Folha1!B:B=Folha2!G51)</f>
        <v>178</v>
      </c>
    </row>
    <row r="52" spans="1:8" x14ac:dyDescent="0.35">
      <c r="A52" t="s">
        <v>1219</v>
      </c>
      <c r="F52" t="str">
        <f t="shared" si="0"/>
        <v>179.jpg</v>
      </c>
      <c r="G52">
        <f t="shared" si="1"/>
        <v>179</v>
      </c>
      <c r="H52" cm="1">
        <f t="array" ref="H52">_xlfn._xlws.FILTER(Folha1!B:B,Folha1!B:B=Folha2!G52)</f>
        <v>179</v>
      </c>
    </row>
    <row r="53" spans="1:8" x14ac:dyDescent="0.35">
      <c r="A53" t="s">
        <v>1220</v>
      </c>
      <c r="F53" t="str">
        <f t="shared" si="0"/>
        <v>180.jpg</v>
      </c>
      <c r="G53">
        <f t="shared" si="1"/>
        <v>180</v>
      </c>
      <c r="H53" cm="1">
        <f t="array" ref="H53">_xlfn._xlws.FILTER(Folha1!B:B,Folha1!B:B=Folha2!G53)</f>
        <v>180</v>
      </c>
    </row>
    <row r="54" spans="1:8" x14ac:dyDescent="0.35">
      <c r="A54" t="s">
        <v>1221</v>
      </c>
      <c r="F54" t="str">
        <f t="shared" si="0"/>
        <v>181.jpg</v>
      </c>
      <c r="G54">
        <f t="shared" si="1"/>
        <v>181</v>
      </c>
      <c r="H54" cm="1">
        <f t="array" ref="H54">_xlfn._xlws.FILTER(Folha1!B:B,Folha1!B:B=Folha2!G54)</f>
        <v>181</v>
      </c>
    </row>
    <row r="55" spans="1:8" x14ac:dyDescent="0.35">
      <c r="A55" t="s">
        <v>1222</v>
      </c>
      <c r="F55" t="str">
        <f t="shared" si="0"/>
        <v>182.jpg</v>
      </c>
      <c r="G55">
        <f t="shared" si="1"/>
        <v>182</v>
      </c>
      <c r="H55" cm="1">
        <f t="array" ref="H55">_xlfn._xlws.FILTER(Folha1!B:B,Folha1!B:B=Folha2!G55)</f>
        <v>182</v>
      </c>
    </row>
    <row r="56" spans="1:8" x14ac:dyDescent="0.35">
      <c r="A56" t="s">
        <v>1223</v>
      </c>
      <c r="F56" t="str">
        <f t="shared" si="0"/>
        <v>183.jpg</v>
      </c>
      <c r="G56">
        <f t="shared" si="1"/>
        <v>183</v>
      </c>
      <c r="H56" cm="1">
        <f t="array" ref="H56">_xlfn._xlws.FILTER(Folha1!B:B,Folha1!B:B=Folha2!G56)</f>
        <v>183</v>
      </c>
    </row>
    <row r="57" spans="1:8" x14ac:dyDescent="0.35">
      <c r="A57" t="s">
        <v>1224</v>
      </c>
      <c r="F57" t="str">
        <f t="shared" si="0"/>
        <v>184.jpg</v>
      </c>
      <c r="G57">
        <f t="shared" si="1"/>
        <v>184</v>
      </c>
      <c r="H57" cm="1">
        <f t="array" ref="H57">_xlfn._xlws.FILTER(Folha1!B:B,Folha1!B:B=Folha2!G57)</f>
        <v>184</v>
      </c>
    </row>
    <row r="58" spans="1:8" x14ac:dyDescent="0.35">
      <c r="A58" t="s">
        <v>1225</v>
      </c>
      <c r="F58" t="str">
        <f t="shared" si="0"/>
        <v>185.jpg</v>
      </c>
      <c r="G58">
        <f t="shared" si="1"/>
        <v>185</v>
      </c>
      <c r="H58" cm="1">
        <f t="array" ref="H58">_xlfn._xlws.FILTER(Folha1!B:B,Folha1!B:B=Folha2!G58)</f>
        <v>185</v>
      </c>
    </row>
    <row r="59" spans="1:8" x14ac:dyDescent="0.35">
      <c r="A59" t="s">
        <v>1226</v>
      </c>
      <c r="F59" t="str">
        <f t="shared" si="0"/>
        <v>186.jpg</v>
      </c>
      <c r="G59">
        <f t="shared" si="1"/>
        <v>186</v>
      </c>
      <c r="H59" cm="1">
        <f t="array" ref="H59">_xlfn._xlws.FILTER(Folha1!B:B,Folha1!B:B=Folha2!G59)</f>
        <v>186</v>
      </c>
    </row>
    <row r="60" spans="1:8" x14ac:dyDescent="0.35">
      <c r="A60" t="s">
        <v>1227</v>
      </c>
      <c r="F60" t="str">
        <f t="shared" si="0"/>
        <v>187.jpg</v>
      </c>
      <c r="G60">
        <f t="shared" si="1"/>
        <v>187</v>
      </c>
      <c r="H60" cm="1">
        <f t="array" ref="H60">_xlfn._xlws.FILTER(Folha1!B:B,Folha1!B:B=Folha2!G60)</f>
        <v>187</v>
      </c>
    </row>
    <row r="61" spans="1:8" x14ac:dyDescent="0.35">
      <c r="A61" t="s">
        <v>1228</v>
      </c>
      <c r="F61" t="str">
        <f t="shared" si="0"/>
        <v>188.jpg</v>
      </c>
      <c r="G61">
        <f t="shared" si="1"/>
        <v>188</v>
      </c>
      <c r="H61" cm="1">
        <f t="array" ref="H61">_xlfn._xlws.FILTER(Folha1!B:B,Folha1!B:B=Folha2!G61)</f>
        <v>188</v>
      </c>
    </row>
    <row r="62" spans="1:8" x14ac:dyDescent="0.35">
      <c r="A62" t="s">
        <v>1229</v>
      </c>
      <c r="F62" t="str">
        <f t="shared" si="0"/>
        <v>189.jpg</v>
      </c>
      <c r="G62">
        <f t="shared" si="1"/>
        <v>189</v>
      </c>
      <c r="H62" cm="1">
        <f t="array" ref="H62">_xlfn._xlws.FILTER(Folha1!B:B,Folha1!B:B=Folha2!G62)</f>
        <v>189</v>
      </c>
    </row>
    <row r="63" spans="1:8" x14ac:dyDescent="0.35">
      <c r="A63" t="s">
        <v>1230</v>
      </c>
      <c r="F63" t="str">
        <f t="shared" si="0"/>
        <v>190.jpg</v>
      </c>
      <c r="G63">
        <f t="shared" si="1"/>
        <v>190</v>
      </c>
      <c r="H63" cm="1">
        <f t="array" ref="H63">_xlfn._xlws.FILTER(Folha1!B:B,Folha1!B:B=Folha2!G63)</f>
        <v>190</v>
      </c>
    </row>
    <row r="64" spans="1:8" x14ac:dyDescent="0.35">
      <c r="A64" t="s">
        <v>1231</v>
      </c>
      <c r="F64" t="str">
        <f t="shared" si="0"/>
        <v>191.jpg</v>
      </c>
      <c r="G64">
        <f t="shared" si="1"/>
        <v>191</v>
      </c>
      <c r="H64" cm="1">
        <f t="array" ref="H64">_xlfn._xlws.FILTER(Folha1!B:B,Folha1!B:B=Folha2!G64)</f>
        <v>191</v>
      </c>
    </row>
    <row r="65" spans="1:8" x14ac:dyDescent="0.35">
      <c r="A65" t="s">
        <v>1232</v>
      </c>
      <c r="F65" t="str">
        <f t="shared" si="0"/>
        <v>192.jpg</v>
      </c>
      <c r="G65">
        <f t="shared" si="1"/>
        <v>192</v>
      </c>
      <c r="H65" cm="1">
        <f t="array" ref="H65">_xlfn._xlws.FILTER(Folha1!B:B,Folha1!B:B=Folha2!G65)</f>
        <v>192</v>
      </c>
    </row>
    <row r="66" spans="1:8" x14ac:dyDescent="0.35">
      <c r="A66" t="s">
        <v>1233</v>
      </c>
      <c r="F66" t="str">
        <f t="shared" ref="F66:F129" si="2">RIGHT(A66, (LEN(A66)+4)-FIND(".jpg", A66))</f>
        <v>193.jpg</v>
      </c>
      <c r="G66">
        <f t="shared" ref="G66:G129" si="3">_xlfn.NUMBERVALUE(IF(ISERROR(FIND(" ",F66)), LEFT(F66, 3), LEFT(RIGHT(F66,6), 2)))</f>
        <v>193</v>
      </c>
      <c r="H66" cm="1">
        <f t="array" ref="H66">_xlfn._xlws.FILTER(Folha1!B:B,Folha1!B:B=Folha2!G66)</f>
        <v>193</v>
      </c>
    </row>
    <row r="67" spans="1:8" x14ac:dyDescent="0.35">
      <c r="A67" t="s">
        <v>1234</v>
      </c>
      <c r="F67" t="str">
        <f t="shared" si="2"/>
        <v>194.jpg</v>
      </c>
      <c r="G67">
        <f t="shared" si="3"/>
        <v>194</v>
      </c>
      <c r="H67" cm="1">
        <f t="array" ref="H67">_xlfn._xlws.FILTER(Folha1!B:B,Folha1!B:B=Folha2!G67)</f>
        <v>194</v>
      </c>
    </row>
    <row r="68" spans="1:8" x14ac:dyDescent="0.35">
      <c r="A68" t="s">
        <v>1235</v>
      </c>
      <c r="F68" t="str">
        <f t="shared" si="2"/>
        <v>195.jpg</v>
      </c>
      <c r="G68">
        <f t="shared" si="3"/>
        <v>195</v>
      </c>
      <c r="H68" cm="1">
        <f t="array" ref="H68">_xlfn._xlws.FILTER(Folha1!B:B,Folha1!B:B=Folha2!G68)</f>
        <v>195</v>
      </c>
    </row>
    <row r="69" spans="1:8" x14ac:dyDescent="0.35">
      <c r="A69" t="s">
        <v>1236</v>
      </c>
      <c r="F69" t="str">
        <f t="shared" si="2"/>
        <v>196.jpg</v>
      </c>
      <c r="G69">
        <f t="shared" si="3"/>
        <v>196</v>
      </c>
      <c r="H69" cm="1">
        <f t="array" ref="H69">_xlfn._xlws.FILTER(Folha1!B:B,Folha1!B:B=Folha2!G69)</f>
        <v>196</v>
      </c>
    </row>
    <row r="70" spans="1:8" x14ac:dyDescent="0.35">
      <c r="A70" t="s">
        <v>1237</v>
      </c>
      <c r="F70" t="str">
        <f t="shared" si="2"/>
        <v>197.jpg</v>
      </c>
      <c r="G70">
        <f t="shared" si="3"/>
        <v>197</v>
      </c>
      <c r="H70" cm="1">
        <f t="array" ref="H70">_xlfn._xlws.FILTER(Folha1!B:B,Folha1!B:B=Folha2!G70)</f>
        <v>197</v>
      </c>
    </row>
    <row r="71" spans="1:8" x14ac:dyDescent="0.35">
      <c r="A71" t="s">
        <v>1238</v>
      </c>
      <c r="F71" t="str">
        <f t="shared" si="2"/>
        <v>198.jpg</v>
      </c>
      <c r="G71">
        <f t="shared" si="3"/>
        <v>198</v>
      </c>
      <c r="H71" cm="1">
        <f t="array" ref="H71">_xlfn._xlws.FILTER(Folha1!B:B,Folha1!B:B=Folha2!G71)</f>
        <v>198</v>
      </c>
    </row>
    <row r="72" spans="1:8" x14ac:dyDescent="0.35">
      <c r="A72" t="s">
        <v>1239</v>
      </c>
      <c r="F72" t="str">
        <f t="shared" si="2"/>
        <v>199.jpg</v>
      </c>
      <c r="G72">
        <f t="shared" si="3"/>
        <v>199</v>
      </c>
      <c r="H72" cm="1">
        <f t="array" ref="H72">_xlfn._xlws.FILTER(Folha1!B:B,Folha1!B:B=Folha2!G72)</f>
        <v>199</v>
      </c>
    </row>
    <row r="73" spans="1:8" x14ac:dyDescent="0.35">
      <c r="A73" t="s">
        <v>1240</v>
      </c>
      <c r="F73" t="str">
        <f t="shared" si="2"/>
        <v>200.jpg</v>
      </c>
      <c r="G73">
        <f t="shared" si="3"/>
        <v>200</v>
      </c>
      <c r="H73" cm="1">
        <f t="array" ref="H73">_xlfn._xlws.FILTER(Folha1!B:B,Folha1!B:B=Folha2!G73)</f>
        <v>200</v>
      </c>
    </row>
    <row r="74" spans="1:8" x14ac:dyDescent="0.35">
      <c r="A74" t="s">
        <v>1241</v>
      </c>
      <c r="F74" t="str">
        <f t="shared" si="2"/>
        <v>201.jpg</v>
      </c>
      <c r="G74">
        <f t="shared" si="3"/>
        <v>201</v>
      </c>
      <c r="H74" cm="1">
        <f t="array" ref="H74">_xlfn._xlws.FILTER(Folha1!B:B,Folha1!B:B=Folha2!G74)</f>
        <v>201</v>
      </c>
    </row>
    <row r="75" spans="1:8" x14ac:dyDescent="0.35">
      <c r="A75" t="s">
        <v>1242</v>
      </c>
      <c r="F75" t="str">
        <f t="shared" si="2"/>
        <v>202.jpg</v>
      </c>
      <c r="G75">
        <f t="shared" si="3"/>
        <v>202</v>
      </c>
      <c r="H75" cm="1">
        <f t="array" ref="H75">_xlfn._xlws.FILTER(Folha1!B:B,Folha1!B:B=Folha2!G75)</f>
        <v>202</v>
      </c>
    </row>
    <row r="76" spans="1:8" x14ac:dyDescent="0.35">
      <c r="A76" t="s">
        <v>1243</v>
      </c>
      <c r="F76" t="str">
        <f t="shared" si="2"/>
        <v>203.jpg</v>
      </c>
      <c r="G76">
        <f t="shared" si="3"/>
        <v>203</v>
      </c>
      <c r="H76" cm="1">
        <f t="array" ref="H76">_xlfn._xlws.FILTER(Folha1!B:B,Folha1!B:B=Folha2!G76)</f>
        <v>203</v>
      </c>
    </row>
    <row r="77" spans="1:8" x14ac:dyDescent="0.35">
      <c r="A77" t="s">
        <v>1244</v>
      </c>
      <c r="F77" t="str">
        <f t="shared" si="2"/>
        <v>204.jpg</v>
      </c>
      <c r="G77">
        <f t="shared" si="3"/>
        <v>204</v>
      </c>
      <c r="H77" cm="1">
        <f t="array" ref="H77">_xlfn._xlws.FILTER(Folha1!B:B,Folha1!B:B=Folha2!G77)</f>
        <v>204</v>
      </c>
    </row>
    <row r="78" spans="1:8" x14ac:dyDescent="0.35">
      <c r="A78" t="s">
        <v>1245</v>
      </c>
      <c r="F78" t="str">
        <f t="shared" si="2"/>
        <v>205.jpg</v>
      </c>
      <c r="G78">
        <f t="shared" si="3"/>
        <v>205</v>
      </c>
      <c r="H78" cm="1">
        <f t="array" ref="H78">_xlfn._xlws.FILTER(Folha1!B:B,Folha1!B:B=Folha2!G78)</f>
        <v>205</v>
      </c>
    </row>
    <row r="79" spans="1:8" x14ac:dyDescent="0.35">
      <c r="A79" t="s">
        <v>1246</v>
      </c>
      <c r="F79" t="str">
        <f t="shared" si="2"/>
        <v>206.jpg</v>
      </c>
      <c r="G79">
        <f t="shared" si="3"/>
        <v>206</v>
      </c>
      <c r="H79" cm="1">
        <f t="array" ref="H79">_xlfn._xlws.FILTER(Folha1!B:B,Folha1!B:B=Folha2!G79)</f>
        <v>206</v>
      </c>
    </row>
    <row r="80" spans="1:8" x14ac:dyDescent="0.35">
      <c r="A80" t="s">
        <v>1247</v>
      </c>
      <c r="F80" t="str">
        <f t="shared" si="2"/>
        <v>207.jpg</v>
      </c>
      <c r="G80">
        <f t="shared" si="3"/>
        <v>207</v>
      </c>
      <c r="H80" cm="1">
        <f t="array" ref="H80">_xlfn._xlws.FILTER(Folha1!B:B,Folha1!B:B=Folha2!G80)</f>
        <v>207</v>
      </c>
    </row>
    <row r="81" spans="1:8" x14ac:dyDescent="0.35">
      <c r="A81" t="s">
        <v>1248</v>
      </c>
      <c r="F81" t="str">
        <f t="shared" si="2"/>
        <v>208.jpg</v>
      </c>
      <c r="G81">
        <f t="shared" si="3"/>
        <v>208</v>
      </c>
      <c r="H81" cm="1">
        <f t="array" ref="H81">_xlfn._xlws.FILTER(Folha1!B:B,Folha1!B:B=Folha2!G81)</f>
        <v>208</v>
      </c>
    </row>
    <row r="82" spans="1:8" x14ac:dyDescent="0.35">
      <c r="A82" t="s">
        <v>1249</v>
      </c>
      <c r="F82" t="str">
        <f t="shared" si="2"/>
        <v>209.jpg</v>
      </c>
      <c r="G82">
        <f t="shared" si="3"/>
        <v>209</v>
      </c>
      <c r="H82" cm="1">
        <f t="array" ref="H82">_xlfn._xlws.FILTER(Folha1!B:B,Folha1!B:B=Folha2!G82)</f>
        <v>209</v>
      </c>
    </row>
    <row r="83" spans="1:8" x14ac:dyDescent="0.35">
      <c r="A83" t="s">
        <v>1250</v>
      </c>
      <c r="F83" t="str">
        <f t="shared" si="2"/>
        <v>210.jpg</v>
      </c>
      <c r="G83">
        <f t="shared" si="3"/>
        <v>210</v>
      </c>
      <c r="H83" cm="1">
        <f t="array" ref="H83">_xlfn._xlws.FILTER(Folha1!B:B,Folha1!B:B=Folha2!G83)</f>
        <v>210</v>
      </c>
    </row>
    <row r="84" spans="1:8" x14ac:dyDescent="0.35">
      <c r="A84" t="s">
        <v>1251</v>
      </c>
      <c r="F84" t="str">
        <f t="shared" si="2"/>
        <v>211.jpg</v>
      </c>
      <c r="G84">
        <f t="shared" si="3"/>
        <v>211</v>
      </c>
      <c r="H84" cm="1">
        <f t="array" ref="H84">_xlfn._xlws.FILTER(Folha1!B:B,Folha1!B:B=Folha2!G84)</f>
        <v>211</v>
      </c>
    </row>
    <row r="85" spans="1:8" x14ac:dyDescent="0.35">
      <c r="A85" t="s">
        <v>1252</v>
      </c>
      <c r="F85" t="str">
        <f t="shared" si="2"/>
        <v>212.jpg</v>
      </c>
      <c r="G85">
        <f t="shared" si="3"/>
        <v>212</v>
      </c>
      <c r="H85" cm="1">
        <f t="array" ref="H85">_xlfn._xlws.FILTER(Folha1!B:B,Folha1!B:B=Folha2!G85)</f>
        <v>212</v>
      </c>
    </row>
    <row r="86" spans="1:8" x14ac:dyDescent="0.35">
      <c r="A86" t="s">
        <v>1253</v>
      </c>
      <c r="F86" t="str">
        <f t="shared" si="2"/>
        <v>213.jpg</v>
      </c>
      <c r="G86">
        <f t="shared" si="3"/>
        <v>213</v>
      </c>
      <c r="H86" cm="1">
        <f t="array" ref="H86">_xlfn._xlws.FILTER(Folha1!B:B,Folha1!B:B=Folha2!G86)</f>
        <v>213</v>
      </c>
    </row>
    <row r="87" spans="1:8" x14ac:dyDescent="0.35">
      <c r="A87" t="s">
        <v>1254</v>
      </c>
      <c r="F87" t="str">
        <f t="shared" si="2"/>
        <v>217.jpg</v>
      </c>
      <c r="G87">
        <f t="shared" si="3"/>
        <v>217</v>
      </c>
      <c r="H87" cm="1">
        <f t="array" ref="H87">_xlfn._xlws.FILTER(Folha1!B:B,Folha1!B:B=Folha2!G87)</f>
        <v>217</v>
      </c>
    </row>
    <row r="88" spans="1:8" x14ac:dyDescent="0.35">
      <c r="A88" t="s">
        <v>1255</v>
      </c>
      <c r="F88" t="str">
        <f t="shared" si="2"/>
        <v>218.jpg</v>
      </c>
      <c r="G88">
        <f t="shared" si="3"/>
        <v>218</v>
      </c>
      <c r="H88" cm="1">
        <f t="array" ref="H88">_xlfn._xlws.FILTER(Folha1!B:B,Folha1!B:B=Folha2!G88)</f>
        <v>218</v>
      </c>
    </row>
    <row r="89" spans="1:8" x14ac:dyDescent="0.35">
      <c r="A89" t="s">
        <v>1256</v>
      </c>
      <c r="F89" t="str">
        <f t="shared" si="2"/>
        <v>219.jpg</v>
      </c>
      <c r="G89">
        <f t="shared" si="3"/>
        <v>219</v>
      </c>
      <c r="H89" cm="1">
        <f t="array" ref="H89">_xlfn._xlws.FILTER(Folha1!B:B,Folha1!B:B=Folha2!G89)</f>
        <v>219</v>
      </c>
    </row>
    <row r="90" spans="1:8" x14ac:dyDescent="0.35">
      <c r="A90" t="s">
        <v>1257</v>
      </c>
      <c r="F90" t="str">
        <f t="shared" si="2"/>
        <v>220.jpg</v>
      </c>
      <c r="G90">
        <f t="shared" si="3"/>
        <v>220</v>
      </c>
      <c r="H90" cm="1">
        <f t="array" ref="H90">_xlfn._xlws.FILTER(Folha1!B:B,Folha1!B:B=Folha2!G90)</f>
        <v>220</v>
      </c>
    </row>
    <row r="91" spans="1:8" x14ac:dyDescent="0.35">
      <c r="A91" t="s">
        <v>1258</v>
      </c>
      <c r="F91" t="str">
        <f t="shared" si="2"/>
        <v>221.jpg</v>
      </c>
      <c r="G91">
        <f t="shared" si="3"/>
        <v>221</v>
      </c>
      <c r="H91" cm="1">
        <f t="array" ref="H91">_xlfn._xlws.FILTER(Folha1!B:B,Folha1!B:B=Folha2!G91)</f>
        <v>221</v>
      </c>
    </row>
    <row r="92" spans="1:8" x14ac:dyDescent="0.35">
      <c r="A92" t="s">
        <v>1259</v>
      </c>
      <c r="F92" t="str">
        <f t="shared" si="2"/>
        <v>222.jpg</v>
      </c>
      <c r="G92">
        <f t="shared" si="3"/>
        <v>222</v>
      </c>
      <c r="H92" cm="1">
        <f t="array" ref="H92">_xlfn._xlws.FILTER(Folha1!B:B,Folha1!B:B=Folha2!G92)</f>
        <v>222</v>
      </c>
    </row>
    <row r="93" spans="1:8" x14ac:dyDescent="0.35">
      <c r="A93" t="s">
        <v>1260</v>
      </c>
      <c r="F93" t="str">
        <f t="shared" si="2"/>
        <v>223.jpg</v>
      </c>
      <c r="G93">
        <f t="shared" si="3"/>
        <v>223</v>
      </c>
      <c r="H93" cm="1">
        <f t="array" ref="H93">_xlfn._xlws.FILTER(Folha1!B:B,Folha1!B:B=Folha2!G93)</f>
        <v>223</v>
      </c>
    </row>
    <row r="94" spans="1:8" x14ac:dyDescent="0.35">
      <c r="A94" t="s">
        <v>1261</v>
      </c>
      <c r="F94" t="str">
        <f t="shared" si="2"/>
        <v>224.jpg</v>
      </c>
      <c r="G94">
        <f t="shared" si="3"/>
        <v>224</v>
      </c>
      <c r="H94" cm="1">
        <f t="array" ref="H94">_xlfn._xlws.FILTER(Folha1!B:B,Folha1!B:B=Folha2!G94)</f>
        <v>224</v>
      </c>
    </row>
    <row r="95" spans="1:8" x14ac:dyDescent="0.35">
      <c r="A95" t="s">
        <v>1262</v>
      </c>
      <c r="F95" t="str">
        <f t="shared" si="2"/>
        <v>225.jpg</v>
      </c>
      <c r="G95">
        <f t="shared" si="3"/>
        <v>225</v>
      </c>
      <c r="H95" cm="1">
        <f t="array" ref="H95">_xlfn._xlws.FILTER(Folha1!B:B,Folha1!B:B=Folha2!G95)</f>
        <v>225</v>
      </c>
    </row>
    <row r="96" spans="1:8" x14ac:dyDescent="0.35">
      <c r="A96" t="s">
        <v>1263</v>
      </c>
      <c r="F96" t="str">
        <f t="shared" si="2"/>
        <v>226.jpg</v>
      </c>
      <c r="G96">
        <f t="shared" si="3"/>
        <v>226</v>
      </c>
      <c r="H96" cm="1">
        <f t="array" ref="H96">_xlfn._xlws.FILTER(Folha1!B:B,Folha1!B:B=Folha2!G96)</f>
        <v>226</v>
      </c>
    </row>
    <row r="97" spans="1:8" x14ac:dyDescent="0.35">
      <c r="A97" t="s">
        <v>1264</v>
      </c>
      <c r="F97" t="str">
        <f t="shared" si="2"/>
        <v>227.jpg</v>
      </c>
      <c r="G97">
        <f t="shared" si="3"/>
        <v>227</v>
      </c>
      <c r="H97" cm="1">
        <f t="array" ref="H97">_xlfn._xlws.FILTER(Folha1!B:B,Folha1!B:B=Folha2!G97)</f>
        <v>227</v>
      </c>
    </row>
    <row r="98" spans="1:8" x14ac:dyDescent="0.35">
      <c r="A98" t="s">
        <v>1265</v>
      </c>
      <c r="F98" t="str">
        <f t="shared" si="2"/>
        <v>228.jpg</v>
      </c>
      <c r="G98">
        <f t="shared" si="3"/>
        <v>228</v>
      </c>
      <c r="H98" cm="1">
        <f t="array" ref="H98">_xlfn._xlws.FILTER(Folha1!B:B,Folha1!B:B=Folha2!G98)</f>
        <v>228</v>
      </c>
    </row>
    <row r="99" spans="1:8" x14ac:dyDescent="0.35">
      <c r="A99" t="s">
        <v>1266</v>
      </c>
      <c r="F99" t="str">
        <f t="shared" si="2"/>
        <v>229.jpg</v>
      </c>
      <c r="G99">
        <f t="shared" si="3"/>
        <v>229</v>
      </c>
      <c r="H99" cm="1">
        <f t="array" ref="H99">_xlfn._xlws.FILTER(Folha1!B:B,Folha1!B:B=Folha2!G99)</f>
        <v>229</v>
      </c>
    </row>
    <row r="100" spans="1:8" x14ac:dyDescent="0.35">
      <c r="A100" t="s">
        <v>1267</v>
      </c>
      <c r="F100" t="str">
        <f t="shared" si="2"/>
        <v>230.jpg</v>
      </c>
      <c r="G100">
        <f t="shared" si="3"/>
        <v>230</v>
      </c>
      <c r="H100" cm="1">
        <f t="array" ref="H100">_xlfn._xlws.FILTER(Folha1!B:B,Folha1!B:B=Folha2!G100)</f>
        <v>230</v>
      </c>
    </row>
    <row r="101" spans="1:8" x14ac:dyDescent="0.35">
      <c r="A101" t="s">
        <v>1268</v>
      </c>
      <c r="F101" t="str">
        <f t="shared" si="2"/>
        <v>231.jpg</v>
      </c>
      <c r="G101">
        <f t="shared" si="3"/>
        <v>231</v>
      </c>
      <c r="H101" cm="1">
        <f t="array" ref="H101">_xlfn._xlws.FILTER(Folha1!B:B,Folha1!B:B=Folha2!G101)</f>
        <v>231</v>
      </c>
    </row>
    <row r="102" spans="1:8" x14ac:dyDescent="0.35">
      <c r="A102" t="s">
        <v>1269</v>
      </c>
      <c r="F102" t="str">
        <f t="shared" si="2"/>
        <v>232.jpg</v>
      </c>
      <c r="G102">
        <f t="shared" si="3"/>
        <v>232</v>
      </c>
      <c r="H102" cm="1">
        <f t="array" ref="H102">_xlfn._xlws.FILTER(Folha1!B:B,Folha1!B:B=Folha2!G102)</f>
        <v>232</v>
      </c>
    </row>
    <row r="103" spans="1:8" x14ac:dyDescent="0.35">
      <c r="A103" t="s">
        <v>1270</v>
      </c>
      <c r="F103" t="str">
        <f t="shared" si="2"/>
        <v>233.jpg</v>
      </c>
      <c r="G103">
        <f t="shared" si="3"/>
        <v>233</v>
      </c>
      <c r="H103" cm="1">
        <f t="array" ref="H103">_xlfn._xlws.FILTER(Folha1!B:B,Folha1!B:B=Folha2!G103)</f>
        <v>233</v>
      </c>
    </row>
    <row r="104" spans="1:8" x14ac:dyDescent="0.35">
      <c r="A104" t="s">
        <v>1271</v>
      </c>
      <c r="F104" t="str">
        <f t="shared" si="2"/>
        <v>235.jpg</v>
      </c>
      <c r="G104">
        <f t="shared" si="3"/>
        <v>235</v>
      </c>
      <c r="H104" cm="1">
        <f t="array" ref="H104">_xlfn._xlws.FILTER(Folha1!B:B,Folha1!B:B=Folha2!G104)</f>
        <v>235</v>
      </c>
    </row>
    <row r="105" spans="1:8" x14ac:dyDescent="0.35">
      <c r="A105" t="s">
        <v>1272</v>
      </c>
      <c r="F105" t="str">
        <f t="shared" si="2"/>
        <v>236.jpg</v>
      </c>
      <c r="G105">
        <f t="shared" si="3"/>
        <v>236</v>
      </c>
      <c r="H105" cm="1">
        <f t="array" ref="H105">_xlfn._xlws.FILTER(Folha1!B:B,Folha1!B:B=Folha2!G105)</f>
        <v>236</v>
      </c>
    </row>
    <row r="106" spans="1:8" x14ac:dyDescent="0.35">
      <c r="A106" t="s">
        <v>1273</v>
      </c>
      <c r="F106" t="str">
        <f t="shared" si="2"/>
        <v>237.jpg</v>
      </c>
      <c r="G106">
        <f t="shared" si="3"/>
        <v>237</v>
      </c>
      <c r="H106" cm="1">
        <f t="array" ref="H106">_xlfn._xlws.FILTER(Folha1!B:B,Folha1!B:B=Folha2!G106)</f>
        <v>237</v>
      </c>
    </row>
    <row r="107" spans="1:8" x14ac:dyDescent="0.35">
      <c r="A107" t="s">
        <v>1274</v>
      </c>
      <c r="F107" t="str">
        <f t="shared" si="2"/>
        <v>238.jpg</v>
      </c>
      <c r="G107">
        <f t="shared" si="3"/>
        <v>238</v>
      </c>
      <c r="H107" cm="1">
        <f t="array" ref="H107">_xlfn._xlws.FILTER(Folha1!B:B,Folha1!B:B=Folha2!G107)</f>
        <v>238</v>
      </c>
    </row>
    <row r="108" spans="1:8" x14ac:dyDescent="0.35">
      <c r="A108" t="s">
        <v>1275</v>
      </c>
      <c r="F108" t="str">
        <f t="shared" si="2"/>
        <v>239.jpg</v>
      </c>
      <c r="G108">
        <f t="shared" si="3"/>
        <v>239</v>
      </c>
      <c r="H108" cm="1">
        <f t="array" ref="H108">_xlfn._xlws.FILTER(Folha1!B:B,Folha1!B:B=Folha2!G108)</f>
        <v>239</v>
      </c>
    </row>
    <row r="109" spans="1:8" x14ac:dyDescent="0.35">
      <c r="A109" t="s">
        <v>1276</v>
      </c>
      <c r="F109" t="str">
        <f t="shared" si="2"/>
        <v>240.jpg</v>
      </c>
      <c r="G109">
        <f t="shared" si="3"/>
        <v>240</v>
      </c>
      <c r="H109" cm="1">
        <f t="array" ref="H109">_xlfn._xlws.FILTER(Folha1!B:B,Folha1!B:B=Folha2!G109)</f>
        <v>240</v>
      </c>
    </row>
    <row r="110" spans="1:8" x14ac:dyDescent="0.35">
      <c r="A110" t="s">
        <v>1277</v>
      </c>
      <c r="F110" t="str">
        <f t="shared" si="2"/>
        <v>241.jpg</v>
      </c>
      <c r="G110">
        <f t="shared" si="3"/>
        <v>241</v>
      </c>
      <c r="H110" cm="1">
        <f t="array" ref="H110">_xlfn._xlws.FILTER(Folha1!B:B,Folha1!B:B=Folha2!G110)</f>
        <v>241</v>
      </c>
    </row>
    <row r="111" spans="1:8" x14ac:dyDescent="0.35">
      <c r="A111" t="s">
        <v>1278</v>
      </c>
      <c r="F111" t="str">
        <f t="shared" si="2"/>
        <v>242.jpg</v>
      </c>
      <c r="G111">
        <f t="shared" si="3"/>
        <v>242</v>
      </c>
      <c r="H111" cm="1">
        <f t="array" ref="H111">_xlfn._xlws.FILTER(Folha1!B:B,Folha1!B:B=Folha2!G111)</f>
        <v>242</v>
      </c>
    </row>
    <row r="112" spans="1:8" x14ac:dyDescent="0.35">
      <c r="A112" t="s">
        <v>1279</v>
      </c>
      <c r="F112" t="str">
        <f t="shared" si="2"/>
        <v>243.jpg</v>
      </c>
      <c r="G112">
        <f t="shared" si="3"/>
        <v>243</v>
      </c>
      <c r="H112" cm="1">
        <f t="array" ref="H112">_xlfn._xlws.FILTER(Folha1!B:B,Folha1!B:B=Folha2!G112)</f>
        <v>243</v>
      </c>
    </row>
    <row r="113" spans="1:8" x14ac:dyDescent="0.35">
      <c r="A113" t="s">
        <v>1280</v>
      </c>
      <c r="F113" t="str">
        <f t="shared" si="2"/>
        <v>244.jpg</v>
      </c>
      <c r="G113">
        <f t="shared" si="3"/>
        <v>244</v>
      </c>
      <c r="H113" cm="1">
        <f t="array" ref="H113">_xlfn._xlws.FILTER(Folha1!B:B,Folha1!B:B=Folha2!G113)</f>
        <v>244</v>
      </c>
    </row>
    <row r="114" spans="1:8" x14ac:dyDescent="0.35">
      <c r="A114" t="s">
        <v>1281</v>
      </c>
      <c r="F114" t="str">
        <f t="shared" si="2"/>
        <v>245.jpg</v>
      </c>
      <c r="G114">
        <f t="shared" si="3"/>
        <v>245</v>
      </c>
      <c r="H114" cm="1">
        <f t="array" ref="H114">_xlfn._xlws.FILTER(Folha1!B:B,Folha1!B:B=Folha2!G114)</f>
        <v>245</v>
      </c>
    </row>
    <row r="115" spans="1:8" x14ac:dyDescent="0.35">
      <c r="A115" t="s">
        <v>1282</v>
      </c>
      <c r="F115" t="str">
        <f t="shared" si="2"/>
        <v>246.jpg</v>
      </c>
      <c r="G115">
        <f t="shared" si="3"/>
        <v>246</v>
      </c>
      <c r="H115" cm="1">
        <f t="array" ref="H115">_xlfn._xlws.FILTER(Folha1!B:B,Folha1!B:B=Folha2!G115)</f>
        <v>246</v>
      </c>
    </row>
    <row r="116" spans="1:8" x14ac:dyDescent="0.35">
      <c r="A116" t="s">
        <v>1283</v>
      </c>
      <c r="F116" t="str">
        <f t="shared" si="2"/>
        <v>247.jpg</v>
      </c>
      <c r="G116">
        <f t="shared" si="3"/>
        <v>247</v>
      </c>
      <c r="H116" cm="1">
        <f t="array" ref="H116">_xlfn._xlws.FILTER(Folha1!B:B,Folha1!B:B=Folha2!G116)</f>
        <v>247</v>
      </c>
    </row>
    <row r="117" spans="1:8" x14ac:dyDescent="0.35">
      <c r="A117" t="s">
        <v>1284</v>
      </c>
      <c r="F117" t="str">
        <f t="shared" si="2"/>
        <v>248.jpg</v>
      </c>
      <c r="G117">
        <f t="shared" si="3"/>
        <v>248</v>
      </c>
      <c r="H117" cm="1">
        <f t="array" ref="H117">_xlfn._xlws.FILTER(Folha1!B:B,Folha1!B:B=Folha2!G117)</f>
        <v>248</v>
      </c>
    </row>
    <row r="118" spans="1:8" x14ac:dyDescent="0.35">
      <c r="A118" t="s">
        <v>1285</v>
      </c>
      <c r="F118" t="str">
        <f t="shared" si="2"/>
        <v>249.jpg</v>
      </c>
      <c r="G118">
        <f t="shared" si="3"/>
        <v>249</v>
      </c>
      <c r="H118" cm="1">
        <f t="array" ref="H118">_xlfn._xlws.FILTER(Folha1!B:B,Folha1!B:B=Folha2!G118)</f>
        <v>249</v>
      </c>
    </row>
    <row r="119" spans="1:8" x14ac:dyDescent="0.35">
      <c r="A119" t="s">
        <v>1286</v>
      </c>
      <c r="F119" t="str">
        <f t="shared" si="2"/>
        <v>250.jpg</v>
      </c>
      <c r="G119">
        <f t="shared" si="3"/>
        <v>250</v>
      </c>
      <c r="H119" cm="1">
        <f t="array" ref="H119">_xlfn._xlws.FILTER(Folha1!B:B,Folha1!B:B=Folha2!G119)</f>
        <v>250</v>
      </c>
    </row>
    <row r="120" spans="1:8" x14ac:dyDescent="0.35">
      <c r="A120" t="s">
        <v>1287</v>
      </c>
      <c r="F120" t="str">
        <f t="shared" si="2"/>
        <v>251.jpg</v>
      </c>
      <c r="G120">
        <f t="shared" si="3"/>
        <v>251</v>
      </c>
      <c r="H120" cm="1">
        <f t="array" ref="H120">_xlfn._xlws.FILTER(Folha1!B:B,Folha1!B:B=Folha2!G120)</f>
        <v>251</v>
      </c>
    </row>
    <row r="121" spans="1:8" x14ac:dyDescent="0.35">
      <c r="A121" t="s">
        <v>1288</v>
      </c>
      <c r="F121" t="str">
        <f t="shared" si="2"/>
        <v>252.jpg</v>
      </c>
      <c r="G121">
        <f t="shared" si="3"/>
        <v>252</v>
      </c>
      <c r="H121" cm="1">
        <f t="array" ref="H121">_xlfn._xlws.FILTER(Folha1!B:B,Folha1!B:B=Folha2!G121)</f>
        <v>252</v>
      </c>
    </row>
    <row r="122" spans="1:8" x14ac:dyDescent="0.35">
      <c r="A122" t="s">
        <v>1289</v>
      </c>
      <c r="F122" t="str">
        <f t="shared" si="2"/>
        <v>253.jpg</v>
      </c>
      <c r="G122">
        <f t="shared" si="3"/>
        <v>253</v>
      </c>
      <c r="H122" cm="1">
        <f t="array" ref="H122">_xlfn._xlws.FILTER(Folha1!B:B,Folha1!B:B=Folha2!G122)</f>
        <v>253</v>
      </c>
    </row>
    <row r="123" spans="1:8" x14ac:dyDescent="0.35">
      <c r="A123" t="s">
        <v>1290</v>
      </c>
      <c r="F123" t="str">
        <f t="shared" si="2"/>
        <v>254.jpg</v>
      </c>
      <c r="G123">
        <f t="shared" si="3"/>
        <v>254</v>
      </c>
      <c r="H123" cm="1">
        <f t="array" ref="H123">_xlfn._xlws.FILTER(Folha1!B:B,Folha1!B:B=Folha2!G123)</f>
        <v>254</v>
      </c>
    </row>
    <row r="124" spans="1:8" x14ac:dyDescent="0.35">
      <c r="A124" t="s">
        <v>1291</v>
      </c>
      <c r="F124" t="str">
        <f t="shared" si="2"/>
        <v>255.jpg</v>
      </c>
      <c r="G124">
        <f t="shared" si="3"/>
        <v>255</v>
      </c>
      <c r="H124" cm="1">
        <f t="array" ref="H124">_xlfn._xlws.FILTER(Folha1!B:B,Folha1!B:B=Folha2!G124)</f>
        <v>255</v>
      </c>
    </row>
    <row r="125" spans="1:8" x14ac:dyDescent="0.35">
      <c r="A125" t="s">
        <v>1292</v>
      </c>
      <c r="F125" t="str">
        <f t="shared" si="2"/>
        <v>256.jpg</v>
      </c>
      <c r="G125">
        <f t="shared" si="3"/>
        <v>256</v>
      </c>
      <c r="H125" cm="1">
        <f t="array" ref="H125">_xlfn._xlws.FILTER(Folha1!B:B,Folha1!B:B=Folha2!G125)</f>
        <v>256</v>
      </c>
    </row>
    <row r="126" spans="1:8" x14ac:dyDescent="0.35">
      <c r="A126" t="s">
        <v>1293</v>
      </c>
      <c r="F126" t="str">
        <f t="shared" si="2"/>
        <v>257.jpg</v>
      </c>
      <c r="G126">
        <f t="shared" si="3"/>
        <v>257</v>
      </c>
      <c r="H126" cm="1">
        <f t="array" ref="H126">_xlfn._xlws.FILTER(Folha1!B:B,Folha1!B:B=Folha2!G126)</f>
        <v>257</v>
      </c>
    </row>
    <row r="127" spans="1:8" x14ac:dyDescent="0.35">
      <c r="A127" t="s">
        <v>1294</v>
      </c>
      <c r="F127" t="str">
        <f t="shared" si="2"/>
        <v>258.jpg</v>
      </c>
      <c r="G127">
        <f t="shared" si="3"/>
        <v>258</v>
      </c>
      <c r="H127" cm="1">
        <f t="array" ref="H127">_xlfn._xlws.FILTER(Folha1!B:B,Folha1!B:B=Folha2!G127)</f>
        <v>258</v>
      </c>
    </row>
    <row r="128" spans="1:8" x14ac:dyDescent="0.35">
      <c r="A128" t="s">
        <v>1295</v>
      </c>
      <c r="F128" t="str">
        <f t="shared" si="2"/>
        <v>259.jpg</v>
      </c>
      <c r="G128">
        <f t="shared" si="3"/>
        <v>259</v>
      </c>
      <c r="H128" cm="1">
        <f t="array" ref="H128">_xlfn._xlws.FILTER(Folha1!B:B,Folha1!B:B=Folha2!G128)</f>
        <v>259</v>
      </c>
    </row>
    <row r="129" spans="1:8" x14ac:dyDescent="0.35">
      <c r="A129" t="s">
        <v>1296</v>
      </c>
      <c r="F129" t="str">
        <f t="shared" si="2"/>
        <v>260.jpg</v>
      </c>
      <c r="G129">
        <f t="shared" si="3"/>
        <v>260</v>
      </c>
      <c r="H129" t="e" cm="1" vm="1">
        <f t="array" ref="H129">_xlfn._xlws.FILTER(Folha1!B:B,Folha1!B:B=Folha2!G129)</f>
        <v>#VALUE!</v>
      </c>
    </row>
    <row r="130" spans="1:8" x14ac:dyDescent="0.35">
      <c r="A130" t="s">
        <v>1297</v>
      </c>
      <c r="F130" t="str">
        <f t="shared" ref="F130:F193" si="4">RIGHT(A130, (LEN(A130)+4)-FIND(".jpg", A130))</f>
        <v>261.jpg</v>
      </c>
      <c r="G130">
        <f t="shared" ref="G130:G193" si="5">_xlfn.NUMBERVALUE(IF(ISERROR(FIND(" ",F130)), LEFT(F130, 3), LEFT(RIGHT(F130,6), 2)))</f>
        <v>261</v>
      </c>
      <c r="H130" cm="1">
        <f t="array" ref="H130">_xlfn._xlws.FILTER(Folha1!B:B,Folha1!B:B=Folha2!G130)</f>
        <v>261</v>
      </c>
    </row>
    <row r="131" spans="1:8" x14ac:dyDescent="0.35">
      <c r="A131" t="s">
        <v>1298</v>
      </c>
      <c r="F131" t="str">
        <f t="shared" si="4"/>
        <v>262.jpg</v>
      </c>
      <c r="G131">
        <f t="shared" si="5"/>
        <v>262</v>
      </c>
      <c r="H131" cm="1">
        <f t="array" ref="H131">_xlfn._xlws.FILTER(Folha1!B:B,Folha1!B:B=Folha2!G131)</f>
        <v>262</v>
      </c>
    </row>
    <row r="132" spans="1:8" x14ac:dyDescent="0.35">
      <c r="A132" t="s">
        <v>1299</v>
      </c>
      <c r="F132" t="str">
        <f t="shared" si="4"/>
        <v>263.jpg</v>
      </c>
      <c r="G132">
        <f t="shared" si="5"/>
        <v>263</v>
      </c>
      <c r="H132" cm="1">
        <f t="array" ref="H132">_xlfn._xlws.FILTER(Folha1!B:B,Folha1!B:B=Folha2!G132)</f>
        <v>263</v>
      </c>
    </row>
    <row r="133" spans="1:8" x14ac:dyDescent="0.35">
      <c r="A133" t="s">
        <v>1300</v>
      </c>
      <c r="F133" t="str">
        <f t="shared" si="4"/>
        <v>264.jpg</v>
      </c>
      <c r="G133">
        <f t="shared" si="5"/>
        <v>264</v>
      </c>
      <c r="H133" cm="1">
        <f t="array" ref="H133">_xlfn._xlws.FILTER(Folha1!B:B,Folha1!B:B=Folha2!G133)</f>
        <v>264</v>
      </c>
    </row>
    <row r="134" spans="1:8" x14ac:dyDescent="0.35">
      <c r="A134" t="s">
        <v>1301</v>
      </c>
      <c r="F134" t="str">
        <f t="shared" si="4"/>
        <v>265.jpg</v>
      </c>
      <c r="G134">
        <f t="shared" si="5"/>
        <v>265</v>
      </c>
      <c r="H134" cm="1">
        <f t="array" ref="H134">_xlfn._xlws.FILTER(Folha1!B:B,Folha1!B:B=Folha2!G134)</f>
        <v>265</v>
      </c>
    </row>
    <row r="135" spans="1:8" x14ac:dyDescent="0.35">
      <c r="A135" t="s">
        <v>1302</v>
      </c>
      <c r="F135" t="str">
        <f t="shared" si="4"/>
        <v>266.jpg</v>
      </c>
      <c r="G135">
        <f t="shared" si="5"/>
        <v>266</v>
      </c>
      <c r="H135" cm="1">
        <f t="array" ref="H135">_xlfn._xlws.FILTER(Folha1!B:B,Folha1!B:B=Folha2!G135)</f>
        <v>266</v>
      </c>
    </row>
    <row r="136" spans="1:8" x14ac:dyDescent="0.35">
      <c r="A136" t="s">
        <v>1303</v>
      </c>
      <c r="F136" t="str">
        <f t="shared" si="4"/>
        <v>267.jpg</v>
      </c>
      <c r="G136">
        <f t="shared" si="5"/>
        <v>267</v>
      </c>
      <c r="H136" cm="1">
        <f t="array" ref="H136">_xlfn._xlws.FILTER(Folha1!B:B,Folha1!B:B=Folha2!G136)</f>
        <v>267</v>
      </c>
    </row>
    <row r="137" spans="1:8" x14ac:dyDescent="0.35">
      <c r="A137" t="s">
        <v>1304</v>
      </c>
      <c r="F137" t="str">
        <f t="shared" si="4"/>
        <v>268.jpg</v>
      </c>
      <c r="G137">
        <f t="shared" si="5"/>
        <v>268</v>
      </c>
      <c r="H137" cm="1">
        <f t="array" ref="H137">_xlfn._xlws.FILTER(Folha1!B:B,Folha1!B:B=Folha2!G137)</f>
        <v>268</v>
      </c>
    </row>
    <row r="138" spans="1:8" x14ac:dyDescent="0.35">
      <c r="A138" t="s">
        <v>1305</v>
      </c>
      <c r="F138" t="str">
        <f t="shared" si="4"/>
        <v>269.jpg</v>
      </c>
      <c r="G138">
        <f t="shared" si="5"/>
        <v>269</v>
      </c>
      <c r="H138" cm="1">
        <f t="array" ref="H138">_xlfn._xlws.FILTER(Folha1!B:B,Folha1!B:B=Folha2!G138)</f>
        <v>269</v>
      </c>
    </row>
    <row r="139" spans="1:8" x14ac:dyDescent="0.35">
      <c r="A139" t="s">
        <v>1306</v>
      </c>
      <c r="F139" t="str">
        <f t="shared" si="4"/>
        <v>270.jpg</v>
      </c>
      <c r="G139">
        <f t="shared" si="5"/>
        <v>270</v>
      </c>
      <c r="H139" cm="1">
        <f t="array" ref="H139">_xlfn._xlws.FILTER(Folha1!B:B,Folha1!B:B=Folha2!G139)</f>
        <v>270</v>
      </c>
    </row>
    <row r="140" spans="1:8" x14ac:dyDescent="0.35">
      <c r="A140" t="s">
        <v>1307</v>
      </c>
      <c r="F140" t="str">
        <f t="shared" si="4"/>
        <v>271.jpg</v>
      </c>
      <c r="G140">
        <f t="shared" si="5"/>
        <v>271</v>
      </c>
      <c r="H140" cm="1">
        <f t="array" ref="H140">_xlfn._xlws.FILTER(Folha1!B:B,Folha1!B:B=Folha2!G140)</f>
        <v>271</v>
      </c>
    </row>
    <row r="141" spans="1:8" x14ac:dyDescent="0.35">
      <c r="A141" t="s">
        <v>1308</v>
      </c>
      <c r="F141" t="str">
        <f t="shared" si="4"/>
        <v>272.jpg</v>
      </c>
      <c r="G141">
        <f t="shared" si="5"/>
        <v>272</v>
      </c>
      <c r="H141" cm="1">
        <f t="array" ref="H141">_xlfn._xlws.FILTER(Folha1!B:B,Folha1!B:B=Folha2!G141)</f>
        <v>272</v>
      </c>
    </row>
    <row r="142" spans="1:8" x14ac:dyDescent="0.35">
      <c r="A142" t="s">
        <v>1309</v>
      </c>
      <c r="F142" t="str">
        <f t="shared" si="4"/>
        <v>273.jpg</v>
      </c>
      <c r="G142">
        <f t="shared" si="5"/>
        <v>273</v>
      </c>
      <c r="H142" cm="1">
        <f t="array" ref="H142">_xlfn._xlws.FILTER(Folha1!B:B,Folha1!B:B=Folha2!G142)</f>
        <v>273</v>
      </c>
    </row>
    <row r="143" spans="1:8" x14ac:dyDescent="0.35">
      <c r="A143" t="s">
        <v>1310</v>
      </c>
      <c r="F143" t="str">
        <f t="shared" si="4"/>
        <v>274.jpg</v>
      </c>
      <c r="G143">
        <f t="shared" si="5"/>
        <v>274</v>
      </c>
      <c r="H143" cm="1">
        <f t="array" ref="H143">_xlfn._xlws.FILTER(Folha1!B:B,Folha1!B:B=Folha2!G143)</f>
        <v>274</v>
      </c>
    </row>
    <row r="144" spans="1:8" x14ac:dyDescent="0.35">
      <c r="A144" t="s">
        <v>1311</v>
      </c>
      <c r="F144" t="str">
        <f t="shared" si="4"/>
        <v>275.jpg</v>
      </c>
      <c r="G144">
        <f t="shared" si="5"/>
        <v>275</v>
      </c>
      <c r="H144" cm="1">
        <f t="array" ref="H144">_xlfn._xlws.FILTER(Folha1!B:B,Folha1!B:B=Folha2!G144)</f>
        <v>275</v>
      </c>
    </row>
    <row r="145" spans="1:8" x14ac:dyDescent="0.35">
      <c r="A145" t="s">
        <v>1312</v>
      </c>
      <c r="F145" t="str">
        <f t="shared" si="4"/>
        <v>276.jpg</v>
      </c>
      <c r="G145">
        <f t="shared" si="5"/>
        <v>276</v>
      </c>
      <c r="H145" cm="1">
        <f t="array" ref="H145">_xlfn._xlws.FILTER(Folha1!B:B,Folha1!B:B=Folha2!G145)</f>
        <v>276</v>
      </c>
    </row>
    <row r="146" spans="1:8" x14ac:dyDescent="0.35">
      <c r="A146" t="s">
        <v>1313</v>
      </c>
      <c r="F146" t="str">
        <f t="shared" si="4"/>
        <v>277.jpg</v>
      </c>
      <c r="G146">
        <f t="shared" si="5"/>
        <v>277</v>
      </c>
      <c r="H146" cm="1">
        <f t="array" ref="H146">_xlfn._xlws.FILTER(Folha1!B:B,Folha1!B:B=Folha2!G146)</f>
        <v>277</v>
      </c>
    </row>
    <row r="147" spans="1:8" x14ac:dyDescent="0.35">
      <c r="A147" t="s">
        <v>1314</v>
      </c>
      <c r="F147" t="str">
        <f t="shared" si="4"/>
        <v>278.jpg</v>
      </c>
      <c r="G147">
        <f t="shared" si="5"/>
        <v>278</v>
      </c>
      <c r="H147" cm="1">
        <f t="array" ref="H147">_xlfn._xlws.FILTER(Folha1!B:B,Folha1!B:B=Folha2!G147)</f>
        <v>278</v>
      </c>
    </row>
    <row r="148" spans="1:8" x14ac:dyDescent="0.35">
      <c r="A148" t="s">
        <v>1315</v>
      </c>
      <c r="F148" t="str">
        <f t="shared" si="4"/>
        <v>279.jpg</v>
      </c>
      <c r="G148">
        <f t="shared" si="5"/>
        <v>279</v>
      </c>
      <c r="H148" cm="1">
        <f t="array" ref="H148">_xlfn._xlws.FILTER(Folha1!B:B,Folha1!B:B=Folha2!G148)</f>
        <v>279</v>
      </c>
    </row>
    <row r="149" spans="1:8" x14ac:dyDescent="0.35">
      <c r="A149" t="s">
        <v>1316</v>
      </c>
      <c r="F149" t="str">
        <f t="shared" si="4"/>
        <v>280.jpg</v>
      </c>
      <c r="G149">
        <f t="shared" si="5"/>
        <v>280</v>
      </c>
      <c r="H149" cm="1">
        <f t="array" ref="H149">_xlfn._xlws.FILTER(Folha1!B:B,Folha1!B:B=Folha2!G149)</f>
        <v>280</v>
      </c>
    </row>
    <row r="150" spans="1:8" x14ac:dyDescent="0.35">
      <c r="A150" t="s">
        <v>1317</v>
      </c>
      <c r="F150" t="str">
        <f t="shared" si="4"/>
        <v>281.jpg</v>
      </c>
      <c r="G150">
        <f t="shared" si="5"/>
        <v>281</v>
      </c>
      <c r="H150" cm="1">
        <f t="array" ref="H150">_xlfn._xlws.FILTER(Folha1!B:B,Folha1!B:B=Folha2!G150)</f>
        <v>281</v>
      </c>
    </row>
    <row r="151" spans="1:8" x14ac:dyDescent="0.35">
      <c r="A151" t="s">
        <v>1318</v>
      </c>
      <c r="F151" t="str">
        <f t="shared" si="4"/>
        <v>282.jpg</v>
      </c>
      <c r="G151">
        <f t="shared" si="5"/>
        <v>282</v>
      </c>
      <c r="H151" cm="1">
        <f t="array" ref="H151">_xlfn._xlws.FILTER(Folha1!B:B,Folha1!B:B=Folha2!G151)</f>
        <v>282</v>
      </c>
    </row>
    <row r="152" spans="1:8" x14ac:dyDescent="0.35">
      <c r="A152" t="s">
        <v>1319</v>
      </c>
      <c r="F152" t="str">
        <f t="shared" si="4"/>
        <v>283.jpg</v>
      </c>
      <c r="G152">
        <f t="shared" si="5"/>
        <v>283</v>
      </c>
      <c r="H152" cm="1">
        <f t="array" ref="H152">_xlfn._xlws.FILTER(Folha1!B:B,Folha1!B:B=Folha2!G152)</f>
        <v>283</v>
      </c>
    </row>
    <row r="153" spans="1:8" x14ac:dyDescent="0.35">
      <c r="A153" t="s">
        <v>1320</v>
      </c>
      <c r="F153" t="str">
        <f t="shared" si="4"/>
        <v>284.jpg</v>
      </c>
      <c r="G153">
        <f t="shared" si="5"/>
        <v>284</v>
      </c>
      <c r="H153" cm="1">
        <f t="array" ref="H153">_xlfn._xlws.FILTER(Folha1!B:B,Folha1!B:B=Folha2!G153)</f>
        <v>284</v>
      </c>
    </row>
    <row r="154" spans="1:8" x14ac:dyDescent="0.35">
      <c r="A154" t="s">
        <v>1321</v>
      </c>
      <c r="F154" t="str">
        <f t="shared" si="4"/>
        <v>285.jpg</v>
      </c>
      <c r="G154">
        <f t="shared" si="5"/>
        <v>285</v>
      </c>
      <c r="H154" cm="1">
        <f t="array" ref="H154">_xlfn._xlws.FILTER(Folha1!B:B,Folha1!B:B=Folha2!G154)</f>
        <v>285</v>
      </c>
    </row>
    <row r="155" spans="1:8" x14ac:dyDescent="0.35">
      <c r="A155" t="s">
        <v>1322</v>
      </c>
      <c r="F155" t="str">
        <f t="shared" si="4"/>
        <v>286.jpg</v>
      </c>
      <c r="G155">
        <f t="shared" si="5"/>
        <v>286</v>
      </c>
      <c r="H155" cm="1">
        <f t="array" ref="H155">_xlfn._xlws.FILTER(Folha1!B:B,Folha1!B:B=Folha2!G155)</f>
        <v>286</v>
      </c>
    </row>
    <row r="156" spans="1:8" x14ac:dyDescent="0.35">
      <c r="A156" t="s">
        <v>1323</v>
      </c>
      <c r="F156" t="str">
        <f t="shared" si="4"/>
        <v>287.jpg</v>
      </c>
      <c r="G156">
        <f t="shared" si="5"/>
        <v>287</v>
      </c>
      <c r="H156" cm="1">
        <f t="array" ref="H156">_xlfn._xlws.FILTER(Folha1!B:B,Folha1!B:B=Folha2!G156)</f>
        <v>287</v>
      </c>
    </row>
    <row r="157" spans="1:8" x14ac:dyDescent="0.35">
      <c r="A157" t="s">
        <v>1324</v>
      </c>
      <c r="F157" t="str">
        <f t="shared" si="4"/>
        <v>288.jpg</v>
      </c>
      <c r="G157">
        <f t="shared" si="5"/>
        <v>288</v>
      </c>
      <c r="H157" cm="1">
        <f t="array" ref="H157">_xlfn._xlws.FILTER(Folha1!B:B,Folha1!B:B=Folha2!G157)</f>
        <v>288</v>
      </c>
    </row>
    <row r="158" spans="1:8" x14ac:dyDescent="0.35">
      <c r="A158" t="s">
        <v>1325</v>
      </c>
      <c r="F158" t="str">
        <f t="shared" si="4"/>
        <v>289.jpg</v>
      </c>
      <c r="G158">
        <f t="shared" si="5"/>
        <v>289</v>
      </c>
      <c r="H158" cm="1">
        <f t="array" ref="H158">_xlfn._xlws.FILTER(Folha1!B:B,Folha1!B:B=Folha2!G158)</f>
        <v>289</v>
      </c>
    </row>
    <row r="159" spans="1:8" x14ac:dyDescent="0.35">
      <c r="A159" t="s">
        <v>1326</v>
      </c>
      <c r="F159" t="str">
        <f t="shared" si="4"/>
        <v>290.jpg</v>
      </c>
      <c r="G159">
        <f t="shared" si="5"/>
        <v>290</v>
      </c>
      <c r="H159" t="e" cm="1" vm="1">
        <f t="array" ref="H159">_xlfn._xlws.FILTER(Folha1!B:B,Folha1!B:B=Folha2!G159)</f>
        <v>#VALUE!</v>
      </c>
    </row>
    <row r="160" spans="1:8" x14ac:dyDescent="0.35">
      <c r="A160" t="s">
        <v>1327</v>
      </c>
      <c r="F160" t="str">
        <f t="shared" si="4"/>
        <v>291.jpg</v>
      </c>
      <c r="G160">
        <f t="shared" si="5"/>
        <v>291</v>
      </c>
      <c r="H160" cm="1">
        <f t="array" ref="H160">_xlfn._xlws.FILTER(Folha1!B:B,Folha1!B:B=Folha2!G160)</f>
        <v>291</v>
      </c>
    </row>
    <row r="161" spans="1:8" x14ac:dyDescent="0.35">
      <c r="A161" t="s">
        <v>1328</v>
      </c>
      <c r="F161" t="str">
        <f t="shared" si="4"/>
        <v>292.jpg</v>
      </c>
      <c r="G161">
        <f t="shared" si="5"/>
        <v>292</v>
      </c>
      <c r="H161" cm="1">
        <f t="array" ref="H161">_xlfn._xlws.FILTER(Folha1!B:B,Folha1!B:B=Folha2!G161)</f>
        <v>292</v>
      </c>
    </row>
    <row r="162" spans="1:8" x14ac:dyDescent="0.35">
      <c r="A162" t="s">
        <v>1329</v>
      </c>
      <c r="F162" t="str">
        <f t="shared" si="4"/>
        <v>293.jpg</v>
      </c>
      <c r="G162">
        <f t="shared" si="5"/>
        <v>293</v>
      </c>
      <c r="H162" cm="1">
        <f t="array" ref="H162">_xlfn._xlws.FILTER(Folha1!B:B,Folha1!B:B=Folha2!G162)</f>
        <v>293</v>
      </c>
    </row>
    <row r="163" spans="1:8" x14ac:dyDescent="0.35">
      <c r="A163" t="s">
        <v>1330</v>
      </c>
      <c r="F163" t="str">
        <f t="shared" si="4"/>
        <v>294.jpg</v>
      </c>
      <c r="G163">
        <f t="shared" si="5"/>
        <v>294</v>
      </c>
      <c r="H163" cm="1">
        <f t="array" ref="H163">_xlfn._xlws.FILTER(Folha1!B:B,Folha1!B:B=Folha2!G163)</f>
        <v>294</v>
      </c>
    </row>
    <row r="164" spans="1:8" x14ac:dyDescent="0.35">
      <c r="A164" t="s">
        <v>1331</v>
      </c>
      <c r="F164" t="str">
        <f t="shared" si="4"/>
        <v>295.jpg</v>
      </c>
      <c r="G164">
        <f t="shared" si="5"/>
        <v>295</v>
      </c>
      <c r="H164" cm="1">
        <f t="array" ref="H164">_xlfn._xlws.FILTER(Folha1!B:B,Folha1!B:B=Folha2!G164)</f>
        <v>295</v>
      </c>
    </row>
    <row r="165" spans="1:8" x14ac:dyDescent="0.35">
      <c r="A165" t="s">
        <v>1332</v>
      </c>
      <c r="F165" t="str">
        <f t="shared" si="4"/>
        <v>296.jpg</v>
      </c>
      <c r="G165">
        <f t="shared" si="5"/>
        <v>296</v>
      </c>
      <c r="H165" cm="1">
        <f t="array" ref="H165">_xlfn._xlws.FILTER(Folha1!B:B,Folha1!B:B=Folha2!G165)</f>
        <v>296</v>
      </c>
    </row>
    <row r="166" spans="1:8" x14ac:dyDescent="0.35">
      <c r="A166" t="s">
        <v>1333</v>
      </c>
      <c r="F166" t="str">
        <f t="shared" si="4"/>
        <v>297.jpg</v>
      </c>
      <c r="G166">
        <f t="shared" si="5"/>
        <v>297</v>
      </c>
      <c r="H166" cm="1">
        <f t="array" ref="H166">_xlfn._xlws.FILTER(Folha1!B:B,Folha1!B:B=Folha2!G166)</f>
        <v>297</v>
      </c>
    </row>
    <row r="167" spans="1:8" x14ac:dyDescent="0.35">
      <c r="A167" t="s">
        <v>1334</v>
      </c>
      <c r="F167" t="str">
        <f t="shared" si="4"/>
        <v>298.jpg</v>
      </c>
      <c r="G167">
        <f t="shared" si="5"/>
        <v>298</v>
      </c>
      <c r="H167" cm="1">
        <f t="array" ref="H167">_xlfn._xlws.FILTER(Folha1!B:B,Folha1!B:B=Folha2!G167)</f>
        <v>298</v>
      </c>
    </row>
    <row r="168" spans="1:8" x14ac:dyDescent="0.35">
      <c r="A168" t="s">
        <v>1335</v>
      </c>
      <c r="F168" t="str">
        <f t="shared" si="4"/>
        <v>299.jpg</v>
      </c>
      <c r="G168">
        <f t="shared" si="5"/>
        <v>299</v>
      </c>
      <c r="H168" cm="1">
        <f t="array" ref="H168">_xlfn._xlws.FILTER(Folha1!B:B,Folha1!B:B=Folha2!G168)</f>
        <v>299</v>
      </c>
    </row>
    <row r="169" spans="1:8" x14ac:dyDescent="0.35">
      <c r="A169" t="s">
        <v>1336</v>
      </c>
      <c r="F169" t="str">
        <f t="shared" si="4"/>
        <v>300.jpg</v>
      </c>
      <c r="G169">
        <f t="shared" si="5"/>
        <v>300</v>
      </c>
      <c r="H169" cm="1">
        <f t="array" ref="H169">_xlfn._xlws.FILTER(Folha1!B:B,Folha1!B:B=Folha2!G169)</f>
        <v>300</v>
      </c>
    </row>
    <row r="170" spans="1:8" x14ac:dyDescent="0.35">
      <c r="A170" t="s">
        <v>1337</v>
      </c>
      <c r="F170" t="str">
        <f t="shared" si="4"/>
        <v>301.jpg</v>
      </c>
      <c r="G170">
        <f t="shared" si="5"/>
        <v>301</v>
      </c>
      <c r="H170" cm="1">
        <f t="array" ref="H170">_xlfn._xlws.FILTER(Folha1!B:B,Folha1!B:B=Folha2!G170)</f>
        <v>301</v>
      </c>
    </row>
    <row r="171" spans="1:8" x14ac:dyDescent="0.35">
      <c r="A171" t="s">
        <v>1338</v>
      </c>
      <c r="F171" t="str">
        <f t="shared" si="4"/>
        <v>302.jpg</v>
      </c>
      <c r="G171">
        <f t="shared" si="5"/>
        <v>302</v>
      </c>
      <c r="H171" cm="1">
        <f t="array" ref="H171">_xlfn._xlws.FILTER(Folha1!B:B,Folha1!B:B=Folha2!G171)</f>
        <v>302</v>
      </c>
    </row>
    <row r="172" spans="1:8" x14ac:dyDescent="0.35">
      <c r="A172" t="s">
        <v>1339</v>
      </c>
      <c r="F172" t="str">
        <f t="shared" si="4"/>
        <v>303.jpg</v>
      </c>
      <c r="G172">
        <f t="shared" si="5"/>
        <v>303</v>
      </c>
      <c r="H172" cm="1">
        <f t="array" ref="H172">_xlfn._xlws.FILTER(Folha1!B:B,Folha1!B:B=Folha2!G172)</f>
        <v>303</v>
      </c>
    </row>
    <row r="173" spans="1:8" x14ac:dyDescent="0.35">
      <c r="A173" t="s">
        <v>1340</v>
      </c>
      <c r="F173" t="str">
        <f t="shared" si="4"/>
        <v>304.jpg</v>
      </c>
      <c r="G173">
        <f t="shared" si="5"/>
        <v>304</v>
      </c>
      <c r="H173" cm="1">
        <f t="array" ref="H173">_xlfn._xlws.FILTER(Folha1!B:B,Folha1!B:B=Folha2!G173)</f>
        <v>304</v>
      </c>
    </row>
    <row r="174" spans="1:8" x14ac:dyDescent="0.35">
      <c r="A174" t="s">
        <v>1341</v>
      </c>
      <c r="F174" t="str">
        <f t="shared" si="4"/>
        <v>305.jpg</v>
      </c>
      <c r="G174">
        <f t="shared" si="5"/>
        <v>305</v>
      </c>
      <c r="H174" cm="1">
        <f t="array" ref="H174">_xlfn._xlws.FILTER(Folha1!B:B,Folha1!B:B=Folha2!G174)</f>
        <v>305</v>
      </c>
    </row>
    <row r="175" spans="1:8" x14ac:dyDescent="0.35">
      <c r="A175" t="s">
        <v>1342</v>
      </c>
      <c r="F175" t="str">
        <f t="shared" si="4"/>
        <v>306.jpg</v>
      </c>
      <c r="G175">
        <f t="shared" si="5"/>
        <v>306</v>
      </c>
      <c r="H175" cm="1">
        <f t="array" ref="H175">_xlfn._xlws.FILTER(Folha1!B:B,Folha1!B:B=Folha2!G175)</f>
        <v>306</v>
      </c>
    </row>
    <row r="176" spans="1:8" x14ac:dyDescent="0.35">
      <c r="A176" t="s">
        <v>1343</v>
      </c>
      <c r="F176" t="str">
        <f t="shared" si="4"/>
        <v>307.jpg</v>
      </c>
      <c r="G176">
        <f t="shared" si="5"/>
        <v>307</v>
      </c>
      <c r="H176" cm="1">
        <f t="array" ref="H176">_xlfn._xlws.FILTER(Folha1!B:B,Folha1!B:B=Folha2!G176)</f>
        <v>307</v>
      </c>
    </row>
    <row r="177" spans="1:8" x14ac:dyDescent="0.35">
      <c r="A177" t="s">
        <v>1344</v>
      </c>
      <c r="F177" t="str">
        <f t="shared" si="4"/>
        <v>308.jpg</v>
      </c>
      <c r="G177">
        <f t="shared" si="5"/>
        <v>308</v>
      </c>
      <c r="H177" cm="1">
        <f t="array" ref="H177">_xlfn._xlws.FILTER(Folha1!B:B,Folha1!B:B=Folha2!G177)</f>
        <v>308</v>
      </c>
    </row>
    <row r="178" spans="1:8" x14ac:dyDescent="0.35">
      <c r="A178" t="s">
        <v>1345</v>
      </c>
      <c r="F178" t="str">
        <f t="shared" si="4"/>
        <v>309.jpg</v>
      </c>
      <c r="G178">
        <f t="shared" si="5"/>
        <v>309</v>
      </c>
      <c r="H178" cm="1">
        <f t="array" ref="H178">_xlfn._xlws.FILTER(Folha1!B:B,Folha1!B:B=Folha2!G178)</f>
        <v>309</v>
      </c>
    </row>
    <row r="179" spans="1:8" x14ac:dyDescent="0.35">
      <c r="A179" t="s">
        <v>1346</v>
      </c>
      <c r="F179" t="str">
        <f t="shared" si="4"/>
        <v>310.jpg</v>
      </c>
      <c r="G179">
        <f t="shared" si="5"/>
        <v>310</v>
      </c>
      <c r="H179" cm="1">
        <f t="array" ref="H179">_xlfn._xlws.FILTER(Folha1!B:B,Folha1!B:B=Folha2!G179)</f>
        <v>310</v>
      </c>
    </row>
    <row r="180" spans="1:8" x14ac:dyDescent="0.35">
      <c r="A180" t="s">
        <v>1347</v>
      </c>
      <c r="F180" t="str">
        <f t="shared" si="4"/>
        <v>311.jpg</v>
      </c>
      <c r="G180">
        <f t="shared" si="5"/>
        <v>311</v>
      </c>
      <c r="H180" cm="1">
        <f t="array" ref="H180">_xlfn._xlws.FILTER(Folha1!B:B,Folha1!B:B=Folha2!G180)</f>
        <v>311</v>
      </c>
    </row>
    <row r="181" spans="1:8" x14ac:dyDescent="0.35">
      <c r="A181" t="s">
        <v>1348</v>
      </c>
      <c r="F181" t="str">
        <f t="shared" si="4"/>
        <v>312.jpg</v>
      </c>
      <c r="G181">
        <f t="shared" si="5"/>
        <v>312</v>
      </c>
      <c r="H181" cm="1">
        <f t="array" ref="H181">_xlfn._xlws.FILTER(Folha1!B:B,Folha1!B:B=Folha2!G181)</f>
        <v>312</v>
      </c>
    </row>
    <row r="182" spans="1:8" x14ac:dyDescent="0.35">
      <c r="A182" t="s">
        <v>1349</v>
      </c>
      <c r="F182" t="str">
        <f t="shared" si="4"/>
        <v>428.jpg</v>
      </c>
      <c r="G182">
        <f t="shared" si="5"/>
        <v>428</v>
      </c>
      <c r="H182" cm="1">
        <f t="array" ref="H182">_xlfn._xlws.FILTER(Folha1!B:B,Folha1!B:B=Folha2!G182)</f>
        <v>428</v>
      </c>
    </row>
    <row r="183" spans="1:8" x14ac:dyDescent="0.35">
      <c r="A183" t="s">
        <v>1350</v>
      </c>
      <c r="F183" t="str">
        <f t="shared" si="4"/>
        <v>429.jpg</v>
      </c>
      <c r="G183">
        <f t="shared" si="5"/>
        <v>429</v>
      </c>
      <c r="H183" cm="1">
        <f t="array" ref="H183">_xlfn._xlws.FILTER(Folha1!B:B,Folha1!B:B=Folha2!G183)</f>
        <v>429</v>
      </c>
    </row>
    <row r="184" spans="1:8" x14ac:dyDescent="0.35">
      <c r="A184" t="s">
        <v>1351</v>
      </c>
      <c r="F184" t="str">
        <f t="shared" si="4"/>
        <v>430.jpg</v>
      </c>
      <c r="G184">
        <f t="shared" si="5"/>
        <v>430</v>
      </c>
      <c r="H184" cm="1">
        <f t="array" ref="H184">_xlfn._xlws.FILTER(Folha1!B:B,Folha1!B:B=Folha2!G184)</f>
        <v>430</v>
      </c>
    </row>
    <row r="185" spans="1:8" x14ac:dyDescent="0.35">
      <c r="A185" t="s">
        <v>1352</v>
      </c>
      <c r="F185" t="str">
        <f t="shared" si="4"/>
        <v>431.jpg</v>
      </c>
      <c r="G185">
        <f t="shared" si="5"/>
        <v>431</v>
      </c>
      <c r="H185" cm="1">
        <f t="array" ref="H185">_xlfn._xlws.FILTER(Folha1!B:B,Folha1!B:B=Folha2!G185)</f>
        <v>431</v>
      </c>
    </row>
    <row r="186" spans="1:8" x14ac:dyDescent="0.35">
      <c r="A186" t="s">
        <v>1353</v>
      </c>
      <c r="F186" t="str">
        <f t="shared" si="4"/>
        <v>432.jpg</v>
      </c>
      <c r="G186">
        <f t="shared" si="5"/>
        <v>432</v>
      </c>
      <c r="H186" cm="1">
        <f t="array" ref="H186">_xlfn._xlws.FILTER(Folha1!B:B,Folha1!B:B=Folha2!G186)</f>
        <v>432</v>
      </c>
    </row>
    <row r="187" spans="1:8" x14ac:dyDescent="0.35">
      <c r="A187" t="s">
        <v>1354</v>
      </c>
      <c r="F187" t="str">
        <f t="shared" si="4"/>
        <v>433.jpg</v>
      </c>
      <c r="G187">
        <f t="shared" si="5"/>
        <v>433</v>
      </c>
      <c r="H187" cm="1">
        <f t="array" ref="H187">_xlfn._xlws.FILTER(Folha1!B:B,Folha1!B:B=Folha2!G187)</f>
        <v>433</v>
      </c>
    </row>
    <row r="188" spans="1:8" x14ac:dyDescent="0.35">
      <c r="A188" t="s">
        <v>1355</v>
      </c>
      <c r="F188" t="str">
        <f t="shared" si="4"/>
        <v>434.jpg</v>
      </c>
      <c r="G188">
        <f t="shared" si="5"/>
        <v>434</v>
      </c>
      <c r="H188" cm="1">
        <f t="array" ref="H188">_xlfn._xlws.FILTER(Folha1!B:B,Folha1!B:B=Folha2!G188)</f>
        <v>434</v>
      </c>
    </row>
    <row r="189" spans="1:8" x14ac:dyDescent="0.35">
      <c r="A189" t="s">
        <v>1356</v>
      </c>
      <c r="F189" t="str">
        <f t="shared" si="4"/>
        <v>435.jpg</v>
      </c>
      <c r="G189">
        <f t="shared" si="5"/>
        <v>435</v>
      </c>
      <c r="H189" cm="1">
        <f t="array" ref="H189">_xlfn._xlws.FILTER(Folha1!B:B,Folha1!B:B=Folha2!G189)</f>
        <v>435</v>
      </c>
    </row>
    <row r="190" spans="1:8" x14ac:dyDescent="0.35">
      <c r="A190" t="s">
        <v>1357</v>
      </c>
      <c r="F190" t="str">
        <f t="shared" si="4"/>
        <v>436.jpg</v>
      </c>
      <c r="G190">
        <f t="shared" si="5"/>
        <v>436</v>
      </c>
      <c r="H190" cm="1">
        <f t="array" ref="H190">_xlfn._xlws.FILTER(Folha1!B:B,Folha1!B:B=Folha2!G190)</f>
        <v>436</v>
      </c>
    </row>
    <row r="191" spans="1:8" x14ac:dyDescent="0.35">
      <c r="A191" t="s">
        <v>1358</v>
      </c>
      <c r="F191" t="str">
        <f t="shared" si="4"/>
        <v>437.jpg</v>
      </c>
      <c r="G191">
        <f t="shared" si="5"/>
        <v>437</v>
      </c>
      <c r="H191" cm="1">
        <f t="array" ref="H191">_xlfn._xlws.FILTER(Folha1!B:B,Folha1!B:B=Folha2!G191)</f>
        <v>437</v>
      </c>
    </row>
    <row r="192" spans="1:8" x14ac:dyDescent="0.35">
      <c r="A192" t="s">
        <v>1359</v>
      </c>
      <c r="F192" t="str">
        <f t="shared" si="4"/>
        <v>438.jpg</v>
      </c>
      <c r="G192">
        <f t="shared" si="5"/>
        <v>438</v>
      </c>
      <c r="H192" cm="1">
        <f t="array" ref="H192">_xlfn._xlws.FILTER(Folha1!B:B,Folha1!B:B=Folha2!G192)</f>
        <v>438</v>
      </c>
    </row>
    <row r="193" spans="1:8" x14ac:dyDescent="0.35">
      <c r="A193" t="s">
        <v>1360</v>
      </c>
      <c r="F193" t="str">
        <f t="shared" si="4"/>
        <v>439.jpg</v>
      </c>
      <c r="G193">
        <f t="shared" si="5"/>
        <v>439</v>
      </c>
      <c r="H193" cm="1">
        <f t="array" ref="H193">_xlfn._xlws.FILTER(Folha1!B:B,Folha1!B:B=Folha2!G193)</f>
        <v>439</v>
      </c>
    </row>
    <row r="194" spans="1:8" x14ac:dyDescent="0.35">
      <c r="A194" t="s">
        <v>1361</v>
      </c>
      <c r="F194" t="str">
        <f t="shared" ref="F194:F257" si="6">RIGHT(A194, (LEN(A194)+4)-FIND(".jpg", A194))</f>
        <v>440.jpg</v>
      </c>
      <c r="G194">
        <f t="shared" ref="G194:G257" si="7">_xlfn.NUMBERVALUE(IF(ISERROR(FIND(" ",F194)), LEFT(F194, 3), LEFT(RIGHT(F194,6), 2)))</f>
        <v>440</v>
      </c>
      <c r="H194" cm="1">
        <f t="array" ref="H194">_xlfn._xlws.FILTER(Folha1!B:B,Folha1!B:B=Folha2!G194)</f>
        <v>440</v>
      </c>
    </row>
    <row r="195" spans="1:8" x14ac:dyDescent="0.35">
      <c r="A195" t="s">
        <v>1362</v>
      </c>
      <c r="F195" t="str">
        <f t="shared" si="6"/>
        <v>441.jpg</v>
      </c>
      <c r="G195">
        <f t="shared" si="7"/>
        <v>441</v>
      </c>
      <c r="H195" cm="1">
        <f t="array" ref="H195">_xlfn._xlws.FILTER(Folha1!B:B,Folha1!B:B=Folha2!G195)</f>
        <v>441</v>
      </c>
    </row>
    <row r="196" spans="1:8" x14ac:dyDescent="0.35">
      <c r="A196" t="s">
        <v>1363</v>
      </c>
      <c r="F196" t="str">
        <f t="shared" si="6"/>
        <v>442.jpg</v>
      </c>
      <c r="G196">
        <f t="shared" si="7"/>
        <v>442</v>
      </c>
      <c r="H196" cm="1">
        <f t="array" ref="H196">_xlfn._xlws.FILTER(Folha1!B:B,Folha1!B:B=Folha2!G196)</f>
        <v>442</v>
      </c>
    </row>
    <row r="197" spans="1:8" x14ac:dyDescent="0.35">
      <c r="A197" t="s">
        <v>1364</v>
      </c>
      <c r="F197" t="str">
        <f t="shared" si="6"/>
        <v>443.jpg</v>
      </c>
      <c r="G197">
        <f t="shared" si="7"/>
        <v>443</v>
      </c>
      <c r="H197" cm="1">
        <f t="array" ref="H197">_xlfn._xlws.FILTER(Folha1!B:B,Folha1!B:B=Folha2!G197)</f>
        <v>443</v>
      </c>
    </row>
    <row r="198" spans="1:8" x14ac:dyDescent="0.35">
      <c r="A198" t="s">
        <v>1365</v>
      </c>
      <c r="F198" t="str">
        <f t="shared" si="6"/>
        <v>444.jpg</v>
      </c>
      <c r="G198">
        <f t="shared" si="7"/>
        <v>444</v>
      </c>
      <c r="H198" cm="1">
        <f t="array" ref="H198">_xlfn._xlws.FILTER(Folha1!B:B,Folha1!B:B=Folha2!G198)</f>
        <v>444</v>
      </c>
    </row>
    <row r="199" spans="1:8" x14ac:dyDescent="0.35">
      <c r="A199" t="s">
        <v>1366</v>
      </c>
      <c r="F199" t="str">
        <f t="shared" si="6"/>
        <v>445.jpg</v>
      </c>
      <c r="G199">
        <f t="shared" si="7"/>
        <v>445</v>
      </c>
      <c r="H199" cm="1">
        <f t="array" ref="H199">_xlfn._xlws.FILTER(Folha1!B:B,Folha1!B:B=Folha2!G199)</f>
        <v>445</v>
      </c>
    </row>
    <row r="200" spans="1:8" x14ac:dyDescent="0.35">
      <c r="A200" t="s">
        <v>1367</v>
      </c>
      <c r="F200" t="str">
        <f t="shared" si="6"/>
        <v>446.jpg</v>
      </c>
      <c r="G200">
        <f t="shared" si="7"/>
        <v>446</v>
      </c>
      <c r="H200" cm="1">
        <f t="array" ref="H200">_xlfn._xlws.FILTER(Folha1!B:B,Folha1!B:B=Folha2!G200)</f>
        <v>446</v>
      </c>
    </row>
    <row r="201" spans="1:8" x14ac:dyDescent="0.35">
      <c r="A201" t="s">
        <v>1368</v>
      </c>
      <c r="F201" t="str">
        <f t="shared" si="6"/>
        <v>447.jpg</v>
      </c>
      <c r="G201">
        <f t="shared" si="7"/>
        <v>447</v>
      </c>
      <c r="H201" cm="1">
        <f t="array" ref="H201">_xlfn._xlws.FILTER(Folha1!B:B,Folha1!B:B=Folha2!G201)</f>
        <v>447</v>
      </c>
    </row>
    <row r="202" spans="1:8" x14ac:dyDescent="0.35">
      <c r="A202" t="s">
        <v>1369</v>
      </c>
      <c r="F202" t="str">
        <f t="shared" si="6"/>
        <v>448.jpg</v>
      </c>
      <c r="G202">
        <f t="shared" si="7"/>
        <v>448</v>
      </c>
      <c r="H202" cm="1">
        <f t="array" ref="H202">_xlfn._xlws.FILTER(Folha1!B:B,Folha1!B:B=Folha2!G202)</f>
        <v>448</v>
      </c>
    </row>
    <row r="203" spans="1:8" x14ac:dyDescent="0.35">
      <c r="A203" t="s">
        <v>1370</v>
      </c>
      <c r="F203" t="str">
        <f t="shared" si="6"/>
        <v>449.jpg</v>
      </c>
      <c r="G203">
        <f t="shared" si="7"/>
        <v>449</v>
      </c>
      <c r="H203" cm="1">
        <f t="array" ref="H203">_xlfn._xlws.FILTER(Folha1!B:B,Folha1!B:B=Folha2!G203)</f>
        <v>449</v>
      </c>
    </row>
    <row r="204" spans="1:8" x14ac:dyDescent="0.35">
      <c r="A204" t="s">
        <v>1371</v>
      </c>
      <c r="F204" t="str">
        <f t="shared" si="6"/>
        <v>450.jpg</v>
      </c>
      <c r="G204">
        <f t="shared" si="7"/>
        <v>450</v>
      </c>
      <c r="H204" cm="1">
        <f t="array" ref="H204">_xlfn._xlws.FILTER(Folha1!B:B,Folha1!B:B=Folha2!G204)</f>
        <v>450</v>
      </c>
    </row>
    <row r="205" spans="1:8" x14ac:dyDescent="0.35">
      <c r="A205" t="s">
        <v>1372</v>
      </c>
      <c r="F205" t="str">
        <f t="shared" si="6"/>
        <v>451.jpg</v>
      </c>
      <c r="G205">
        <f t="shared" si="7"/>
        <v>451</v>
      </c>
      <c r="H205" cm="1">
        <f t="array" ref="H205">_xlfn._xlws.FILTER(Folha1!B:B,Folha1!B:B=Folha2!G205)</f>
        <v>451</v>
      </c>
    </row>
    <row r="206" spans="1:8" x14ac:dyDescent="0.35">
      <c r="A206" t="s">
        <v>1373</v>
      </c>
      <c r="F206" t="str">
        <f t="shared" si="6"/>
        <v>452.jpg</v>
      </c>
      <c r="G206">
        <f t="shared" si="7"/>
        <v>452</v>
      </c>
      <c r="H206" cm="1">
        <f t="array" ref="H206">_xlfn._xlws.FILTER(Folha1!B:B,Folha1!B:B=Folha2!G206)</f>
        <v>452</v>
      </c>
    </row>
    <row r="207" spans="1:8" x14ac:dyDescent="0.35">
      <c r="A207" t="s">
        <v>1374</v>
      </c>
      <c r="F207" t="str">
        <f t="shared" si="6"/>
        <v>453.jpg</v>
      </c>
      <c r="G207">
        <f t="shared" si="7"/>
        <v>453</v>
      </c>
      <c r="H207" cm="1">
        <f t="array" ref="H207">_xlfn._xlws.FILTER(Folha1!B:B,Folha1!B:B=Folha2!G207)</f>
        <v>453</v>
      </c>
    </row>
    <row r="208" spans="1:8" x14ac:dyDescent="0.35">
      <c r="A208" t="s">
        <v>1375</v>
      </c>
      <c r="F208" t="str">
        <f t="shared" si="6"/>
        <v>454.jpg</v>
      </c>
      <c r="G208">
        <f t="shared" si="7"/>
        <v>454</v>
      </c>
      <c r="H208" cm="1">
        <f t="array" ref="H208">_xlfn._xlws.FILTER(Folha1!B:B,Folha1!B:B=Folha2!G208)</f>
        <v>454</v>
      </c>
    </row>
    <row r="209" spans="1:8" x14ac:dyDescent="0.35">
      <c r="A209" t="s">
        <v>1376</v>
      </c>
      <c r="F209" t="str">
        <f t="shared" si="6"/>
        <v>455.jpg</v>
      </c>
      <c r="G209">
        <f t="shared" si="7"/>
        <v>455</v>
      </c>
      <c r="H209" cm="1">
        <f t="array" ref="H209">_xlfn._xlws.FILTER(Folha1!B:B,Folha1!B:B=Folha2!G209)</f>
        <v>455</v>
      </c>
    </row>
    <row r="210" spans="1:8" x14ac:dyDescent="0.35">
      <c r="A210" t="s">
        <v>1377</v>
      </c>
      <c r="F210" t="str">
        <f t="shared" si="6"/>
        <v>456.jpg</v>
      </c>
      <c r="G210">
        <f t="shared" si="7"/>
        <v>456</v>
      </c>
      <c r="H210" cm="1">
        <f t="array" ref="H210">_xlfn._xlws.FILTER(Folha1!B:B,Folha1!B:B=Folha2!G210)</f>
        <v>456</v>
      </c>
    </row>
    <row r="211" spans="1:8" x14ac:dyDescent="0.35">
      <c r="A211" t="s">
        <v>1378</v>
      </c>
      <c r="F211" t="str">
        <f t="shared" si="6"/>
        <v>457.jpg</v>
      </c>
      <c r="G211">
        <f t="shared" si="7"/>
        <v>457</v>
      </c>
      <c r="H211" cm="1">
        <f t="array" ref="H211">_xlfn._xlws.FILTER(Folha1!B:B,Folha1!B:B=Folha2!G211)</f>
        <v>457</v>
      </c>
    </row>
    <row r="212" spans="1:8" x14ac:dyDescent="0.35">
      <c r="A212" t="s">
        <v>1379</v>
      </c>
      <c r="F212" t="str">
        <f t="shared" si="6"/>
        <v>458.jpg</v>
      </c>
      <c r="G212">
        <f t="shared" si="7"/>
        <v>458</v>
      </c>
      <c r="H212" cm="1">
        <f t="array" ref="H212">_xlfn._xlws.FILTER(Folha1!B:B,Folha1!B:B=Folha2!G212)</f>
        <v>458</v>
      </c>
    </row>
    <row r="213" spans="1:8" x14ac:dyDescent="0.35">
      <c r="A213" t="s">
        <v>1380</v>
      </c>
      <c r="F213" t="str">
        <f t="shared" si="6"/>
        <v>459.jpg</v>
      </c>
      <c r="G213">
        <f t="shared" si="7"/>
        <v>459</v>
      </c>
      <c r="H213" cm="1">
        <f t="array" ref="H213">_xlfn._xlws.FILTER(Folha1!B:B,Folha1!B:B=Folha2!G213)</f>
        <v>459</v>
      </c>
    </row>
    <row r="214" spans="1:8" x14ac:dyDescent="0.35">
      <c r="A214" t="s">
        <v>1381</v>
      </c>
      <c r="F214" t="str">
        <f t="shared" si="6"/>
        <v>460.jpg</v>
      </c>
      <c r="G214">
        <f t="shared" si="7"/>
        <v>460</v>
      </c>
      <c r="H214" cm="1">
        <f t="array" ref="H214">_xlfn._xlws.FILTER(Folha1!B:B,Folha1!B:B=Folha2!G214)</f>
        <v>460</v>
      </c>
    </row>
    <row r="215" spans="1:8" x14ac:dyDescent="0.35">
      <c r="A215" t="s">
        <v>1382</v>
      </c>
      <c r="F215" t="str">
        <f t="shared" si="6"/>
        <v>461.jpg</v>
      </c>
      <c r="G215">
        <f t="shared" si="7"/>
        <v>461</v>
      </c>
      <c r="H215" cm="1">
        <f t="array" ref="H215">_xlfn._xlws.FILTER(Folha1!B:B,Folha1!B:B=Folha2!G215)</f>
        <v>461</v>
      </c>
    </row>
    <row r="216" spans="1:8" x14ac:dyDescent="0.35">
      <c r="A216" t="s">
        <v>1383</v>
      </c>
      <c r="F216" t="str">
        <f t="shared" si="6"/>
        <v>462.jpg</v>
      </c>
      <c r="G216">
        <f t="shared" si="7"/>
        <v>462</v>
      </c>
      <c r="H216" cm="1">
        <f t="array" ref="H216">_xlfn._xlws.FILTER(Folha1!B:B,Folha1!B:B=Folha2!G216)</f>
        <v>462</v>
      </c>
    </row>
    <row r="217" spans="1:8" x14ac:dyDescent="0.35">
      <c r="A217" t="s">
        <v>1384</v>
      </c>
      <c r="F217" t="str">
        <f t="shared" si="6"/>
        <v>463.jpg</v>
      </c>
      <c r="G217">
        <f t="shared" si="7"/>
        <v>463</v>
      </c>
      <c r="H217" cm="1">
        <f t="array" ref="H217">_xlfn._xlws.FILTER(Folha1!B:B,Folha1!B:B=Folha2!G217)</f>
        <v>463</v>
      </c>
    </row>
    <row r="218" spans="1:8" x14ac:dyDescent="0.35">
      <c r="A218" t="s">
        <v>1385</v>
      </c>
      <c r="F218" t="str">
        <f t="shared" si="6"/>
        <v>464.jpg</v>
      </c>
      <c r="G218">
        <f t="shared" si="7"/>
        <v>464</v>
      </c>
      <c r="H218" cm="1">
        <f t="array" ref="H218">_xlfn._xlws.FILTER(Folha1!B:B,Folha1!B:B=Folha2!G218)</f>
        <v>464</v>
      </c>
    </row>
    <row r="219" spans="1:8" x14ac:dyDescent="0.35">
      <c r="A219" t="s">
        <v>1386</v>
      </c>
      <c r="F219" t="str">
        <f t="shared" si="6"/>
        <v>465.jpg</v>
      </c>
      <c r="G219">
        <f t="shared" si="7"/>
        <v>465</v>
      </c>
      <c r="H219" cm="1">
        <f t="array" ref="H219">_xlfn._xlws.FILTER(Folha1!B:B,Folha1!B:B=Folha2!G219)</f>
        <v>465</v>
      </c>
    </row>
    <row r="220" spans="1:8" x14ac:dyDescent="0.35">
      <c r="A220" t="s">
        <v>1387</v>
      </c>
      <c r="F220" t="str">
        <f t="shared" si="6"/>
        <v>466.jpg</v>
      </c>
      <c r="G220">
        <f t="shared" si="7"/>
        <v>466</v>
      </c>
      <c r="H220" cm="1">
        <f t="array" ref="H220">_xlfn._xlws.FILTER(Folha1!B:B,Folha1!B:B=Folha2!G220)</f>
        <v>466</v>
      </c>
    </row>
    <row r="221" spans="1:8" x14ac:dyDescent="0.35">
      <c r="A221" t="s">
        <v>1388</v>
      </c>
      <c r="F221" t="str">
        <f t="shared" si="6"/>
        <v>467.jpg</v>
      </c>
      <c r="G221">
        <f t="shared" si="7"/>
        <v>467</v>
      </c>
      <c r="H221" cm="1">
        <f t="array" ref="H221">_xlfn._xlws.FILTER(Folha1!B:B,Folha1!B:B=Folha2!G221)</f>
        <v>467</v>
      </c>
    </row>
    <row r="222" spans="1:8" x14ac:dyDescent="0.35">
      <c r="A222" t="s">
        <v>1389</v>
      </c>
      <c r="F222" t="str">
        <f t="shared" si="6"/>
        <v>468.jpg</v>
      </c>
      <c r="G222">
        <f t="shared" si="7"/>
        <v>468</v>
      </c>
      <c r="H222" cm="1">
        <f t="array" ref="H222">_xlfn._xlws.FILTER(Folha1!B:B,Folha1!B:B=Folha2!G222)</f>
        <v>468</v>
      </c>
    </row>
    <row r="223" spans="1:8" x14ac:dyDescent="0.35">
      <c r="A223" t="s">
        <v>1390</v>
      </c>
      <c r="F223" t="str">
        <f t="shared" si="6"/>
        <v>469.jpg</v>
      </c>
      <c r="G223">
        <f t="shared" si="7"/>
        <v>469</v>
      </c>
      <c r="H223" cm="1">
        <f t="array" ref="H223">_xlfn._xlws.FILTER(Folha1!B:B,Folha1!B:B=Folha2!G223)</f>
        <v>469</v>
      </c>
    </row>
    <row r="224" spans="1:8" x14ac:dyDescent="0.35">
      <c r="A224" t="s">
        <v>1391</v>
      </c>
      <c r="F224" t="str">
        <f t="shared" si="6"/>
        <v>470.jpg</v>
      </c>
      <c r="G224">
        <f t="shared" si="7"/>
        <v>470</v>
      </c>
      <c r="H224" cm="1">
        <f t="array" ref="H224">_xlfn._xlws.FILTER(Folha1!B:B,Folha1!B:B=Folha2!G224)</f>
        <v>470</v>
      </c>
    </row>
    <row r="225" spans="1:8" x14ac:dyDescent="0.35">
      <c r="A225" t="s">
        <v>1392</v>
      </c>
      <c r="F225" t="str">
        <f t="shared" si="6"/>
        <v>471.jpg</v>
      </c>
      <c r="G225">
        <f t="shared" si="7"/>
        <v>471</v>
      </c>
      <c r="H225" cm="1">
        <f t="array" ref="H225">_xlfn._xlws.FILTER(Folha1!B:B,Folha1!B:B=Folha2!G225)</f>
        <v>471</v>
      </c>
    </row>
    <row r="226" spans="1:8" x14ac:dyDescent="0.35">
      <c r="A226" t="s">
        <v>1393</v>
      </c>
      <c r="F226" t="str">
        <f t="shared" si="6"/>
        <v>472.jpg</v>
      </c>
      <c r="G226">
        <f t="shared" si="7"/>
        <v>472</v>
      </c>
      <c r="H226" cm="1">
        <f t="array" ref="H226">_xlfn._xlws.FILTER(Folha1!B:B,Folha1!B:B=Folha2!G226)</f>
        <v>472</v>
      </c>
    </row>
    <row r="227" spans="1:8" x14ac:dyDescent="0.35">
      <c r="A227" t="s">
        <v>1394</v>
      </c>
      <c r="F227" t="str">
        <f t="shared" si="6"/>
        <v>473.jpg</v>
      </c>
      <c r="G227">
        <f t="shared" si="7"/>
        <v>473</v>
      </c>
      <c r="H227" cm="1">
        <f t="array" ref="H227">_xlfn._xlws.FILTER(Folha1!B:B,Folha1!B:B=Folha2!G227)</f>
        <v>473</v>
      </c>
    </row>
    <row r="228" spans="1:8" x14ac:dyDescent="0.35">
      <c r="A228" t="s">
        <v>1395</v>
      </c>
      <c r="F228" t="str">
        <f t="shared" si="6"/>
        <v>474.jpg</v>
      </c>
      <c r="G228">
        <f t="shared" si="7"/>
        <v>474</v>
      </c>
      <c r="H228" cm="1">
        <f t="array" ref="H228">_xlfn._xlws.FILTER(Folha1!B:B,Folha1!B:B=Folha2!G228)</f>
        <v>474</v>
      </c>
    </row>
    <row r="229" spans="1:8" x14ac:dyDescent="0.35">
      <c r="A229" t="s">
        <v>1396</v>
      </c>
      <c r="F229" t="str">
        <f t="shared" si="6"/>
        <v>475.jpg</v>
      </c>
      <c r="G229">
        <f t="shared" si="7"/>
        <v>475</v>
      </c>
      <c r="H229" cm="1">
        <f t="array" ref="H229">_xlfn._xlws.FILTER(Folha1!B:B,Folha1!B:B=Folha2!G229)</f>
        <v>475</v>
      </c>
    </row>
    <row r="230" spans="1:8" x14ac:dyDescent="0.35">
      <c r="A230" t="s">
        <v>1397</v>
      </c>
      <c r="F230" t="str">
        <f t="shared" si="6"/>
        <v>476.jpg</v>
      </c>
      <c r="G230">
        <f t="shared" si="7"/>
        <v>476</v>
      </c>
      <c r="H230" cm="1">
        <f t="array" ref="H230">_xlfn._xlws.FILTER(Folha1!B:B,Folha1!B:B=Folha2!G230)</f>
        <v>476</v>
      </c>
    </row>
    <row r="231" spans="1:8" x14ac:dyDescent="0.35">
      <c r="A231" t="s">
        <v>1398</v>
      </c>
      <c r="F231" t="str">
        <f t="shared" si="6"/>
        <v>477.jpg</v>
      </c>
      <c r="G231">
        <f t="shared" si="7"/>
        <v>477</v>
      </c>
      <c r="H231" cm="1">
        <f t="array" ref="H231">_xlfn._xlws.FILTER(Folha1!B:B,Folha1!B:B=Folha2!G231)</f>
        <v>477</v>
      </c>
    </row>
    <row r="232" spans="1:8" x14ac:dyDescent="0.35">
      <c r="A232" t="s">
        <v>1399</v>
      </c>
      <c r="F232" t="str">
        <f t="shared" si="6"/>
        <v>478.jpg</v>
      </c>
      <c r="G232">
        <f t="shared" si="7"/>
        <v>478</v>
      </c>
      <c r="H232" cm="1">
        <f t="array" ref="H232">_xlfn._xlws.FILTER(Folha1!B:B,Folha1!B:B=Folha2!G232)</f>
        <v>478</v>
      </c>
    </row>
    <row r="233" spans="1:8" x14ac:dyDescent="0.35">
      <c r="A233" t="s">
        <v>1400</v>
      </c>
      <c r="F233" t="str">
        <f t="shared" si="6"/>
        <v>479.jpg</v>
      </c>
      <c r="G233">
        <f t="shared" si="7"/>
        <v>479</v>
      </c>
      <c r="H233" cm="1">
        <f t="array" ref="H233">_xlfn._xlws.FILTER(Folha1!B:B,Folha1!B:B=Folha2!G233)</f>
        <v>479</v>
      </c>
    </row>
    <row r="234" spans="1:8" x14ac:dyDescent="0.35">
      <c r="A234" t="s">
        <v>1401</v>
      </c>
      <c r="F234" t="str">
        <f t="shared" si="6"/>
        <v>480.jpg</v>
      </c>
      <c r="G234">
        <f t="shared" si="7"/>
        <v>480</v>
      </c>
      <c r="H234" cm="1">
        <f t="array" ref="H234">_xlfn._xlws.FILTER(Folha1!B:B,Folha1!B:B=Folha2!G234)</f>
        <v>480</v>
      </c>
    </row>
    <row r="235" spans="1:8" x14ac:dyDescent="0.35">
      <c r="A235" t="s">
        <v>1402</v>
      </c>
      <c r="F235" t="str">
        <f t="shared" si="6"/>
        <v>481.jpg</v>
      </c>
      <c r="G235">
        <f t="shared" si="7"/>
        <v>481</v>
      </c>
      <c r="H235" cm="1">
        <f t="array" ref="H235">_xlfn._xlws.FILTER(Folha1!B:B,Folha1!B:B=Folha2!G235)</f>
        <v>481</v>
      </c>
    </row>
    <row r="236" spans="1:8" x14ac:dyDescent="0.35">
      <c r="A236" t="s">
        <v>1403</v>
      </c>
      <c r="F236" t="str">
        <f t="shared" si="6"/>
        <v>482.jpg</v>
      </c>
      <c r="G236">
        <f t="shared" si="7"/>
        <v>482</v>
      </c>
      <c r="H236" cm="1">
        <f t="array" ref="H236">_xlfn._xlws.FILTER(Folha1!B:B,Folha1!B:B=Folha2!G236)</f>
        <v>482</v>
      </c>
    </row>
    <row r="237" spans="1:8" x14ac:dyDescent="0.35">
      <c r="A237" t="s">
        <v>1404</v>
      </c>
      <c r="F237" t="str">
        <f t="shared" si="6"/>
        <v>483.jpg</v>
      </c>
      <c r="G237">
        <f t="shared" si="7"/>
        <v>483</v>
      </c>
      <c r="H237" cm="1">
        <f t="array" ref="H237">_xlfn._xlws.FILTER(Folha1!B:B,Folha1!B:B=Folha2!G237)</f>
        <v>483</v>
      </c>
    </row>
    <row r="238" spans="1:8" x14ac:dyDescent="0.35">
      <c r="A238" t="s">
        <v>1405</v>
      </c>
      <c r="F238" t="str">
        <f t="shared" si="6"/>
        <v>484.jpg</v>
      </c>
      <c r="G238">
        <f t="shared" si="7"/>
        <v>484</v>
      </c>
      <c r="H238" cm="1">
        <f t="array" ref="H238">_xlfn._xlws.FILTER(Folha1!B:B,Folha1!B:B=Folha2!G238)</f>
        <v>484</v>
      </c>
    </row>
    <row r="239" spans="1:8" x14ac:dyDescent="0.35">
      <c r="A239" t="s">
        <v>1406</v>
      </c>
      <c r="F239" t="str">
        <f t="shared" si="6"/>
        <v>485.jpg</v>
      </c>
      <c r="G239">
        <f t="shared" si="7"/>
        <v>485</v>
      </c>
      <c r="H239" cm="1">
        <f t="array" ref="H239">_xlfn._xlws.FILTER(Folha1!B:B,Folha1!B:B=Folha2!G239)</f>
        <v>485</v>
      </c>
    </row>
    <row r="240" spans="1:8" x14ac:dyDescent="0.35">
      <c r="A240" t="s">
        <v>1407</v>
      </c>
      <c r="F240" t="str">
        <f t="shared" si="6"/>
        <v>491.jpg</v>
      </c>
      <c r="G240">
        <f t="shared" si="7"/>
        <v>491</v>
      </c>
      <c r="H240" cm="1">
        <f t="array" ref="H240">_xlfn._xlws.FILTER(Folha1!B:B,Folha1!B:B=Folha2!G240)</f>
        <v>491</v>
      </c>
    </row>
    <row r="241" spans="1:8" x14ac:dyDescent="0.35">
      <c r="A241" t="s">
        <v>1408</v>
      </c>
      <c r="F241" t="str">
        <f t="shared" si="6"/>
        <v>492.jpg</v>
      </c>
      <c r="G241">
        <f t="shared" si="7"/>
        <v>492</v>
      </c>
      <c r="H241" cm="1">
        <f t="array" ref="H241">_xlfn._xlws.FILTER(Folha1!B:B,Folha1!B:B=Folha2!G241)</f>
        <v>492</v>
      </c>
    </row>
    <row r="242" spans="1:8" x14ac:dyDescent="0.35">
      <c r="A242" t="s">
        <v>1409</v>
      </c>
      <c r="F242" t="str">
        <f t="shared" si="6"/>
        <v>493.jpg</v>
      </c>
      <c r="G242">
        <f t="shared" si="7"/>
        <v>493</v>
      </c>
      <c r="H242" cm="1">
        <f t="array" ref="H242">_xlfn._xlws.FILTER(Folha1!B:B,Folha1!B:B=Folha2!G242)</f>
        <v>493</v>
      </c>
    </row>
    <row r="243" spans="1:8" x14ac:dyDescent="0.35">
      <c r="A243" t="s">
        <v>1410</v>
      </c>
      <c r="F243" t="str">
        <f t="shared" si="6"/>
        <v>494.jpg</v>
      </c>
      <c r="G243">
        <f t="shared" si="7"/>
        <v>494</v>
      </c>
      <c r="H243" cm="1">
        <f t="array" ref="H243">_xlfn._xlws.FILTER(Folha1!B:B,Folha1!B:B=Folha2!G243)</f>
        <v>494</v>
      </c>
    </row>
    <row r="244" spans="1:8" x14ac:dyDescent="0.35">
      <c r="A244" t="s">
        <v>1411</v>
      </c>
      <c r="F244" t="str">
        <f t="shared" si="6"/>
        <v>495.jpg</v>
      </c>
      <c r="G244">
        <f t="shared" si="7"/>
        <v>495</v>
      </c>
      <c r="H244" cm="1">
        <f t="array" ref="H244">_xlfn._xlws.FILTER(Folha1!B:B,Folha1!B:B=Folha2!G244)</f>
        <v>495</v>
      </c>
    </row>
    <row r="245" spans="1:8" x14ac:dyDescent="0.35">
      <c r="A245" t="s">
        <v>1412</v>
      </c>
      <c r="F245" t="str">
        <f t="shared" si="6"/>
        <v>551.jpg</v>
      </c>
      <c r="G245">
        <f t="shared" si="7"/>
        <v>551</v>
      </c>
      <c r="H245" cm="1">
        <f t="array" ref="H245">_xlfn._xlws.FILTER(Folha1!B:B,Folha1!B:B=Folha2!G245)</f>
        <v>551</v>
      </c>
    </row>
    <row r="246" spans="1:8" x14ac:dyDescent="0.35">
      <c r="A246" t="s">
        <v>1413</v>
      </c>
      <c r="F246" t="str">
        <f t="shared" si="6"/>
        <v>566.jpg</v>
      </c>
      <c r="G246">
        <f t="shared" si="7"/>
        <v>566</v>
      </c>
      <c r="H246" cm="1">
        <f t="array" ref="H246">_xlfn._xlws.FILTER(Folha1!B:B,Folha1!B:B=Folha2!G246)</f>
        <v>566</v>
      </c>
    </row>
    <row r="247" spans="1:8" x14ac:dyDescent="0.35">
      <c r="A247" t="s">
        <v>1414</v>
      </c>
      <c r="F247" t="str">
        <f t="shared" si="6"/>
        <v>567.jpg</v>
      </c>
      <c r="G247">
        <f t="shared" si="7"/>
        <v>567</v>
      </c>
      <c r="H247" cm="1">
        <f t="array" ref="H247">_xlfn._xlws.FILTER(Folha1!B:B,Folha1!B:B=Folha2!G247)</f>
        <v>567</v>
      </c>
    </row>
    <row r="248" spans="1:8" x14ac:dyDescent="0.35">
      <c r="A248" t="s">
        <v>1415</v>
      </c>
      <c r="F248" t="str">
        <f t="shared" si="6"/>
        <v>568.jpg</v>
      </c>
      <c r="G248">
        <f t="shared" si="7"/>
        <v>568</v>
      </c>
      <c r="H248" cm="1">
        <f t="array" ref="H248">_xlfn._xlws.FILTER(Folha1!B:B,Folha1!B:B=Folha2!G248)</f>
        <v>568</v>
      </c>
    </row>
    <row r="249" spans="1:8" x14ac:dyDescent="0.35">
      <c r="A249" t="s">
        <v>1416</v>
      </c>
      <c r="F249" t="str">
        <f t="shared" si="6"/>
        <v>569.jpg</v>
      </c>
      <c r="G249">
        <f t="shared" si="7"/>
        <v>569</v>
      </c>
      <c r="H249" cm="1">
        <f t="array" ref="H249">_xlfn._xlws.FILTER(Folha1!B:B,Folha1!B:B=Folha2!G249)</f>
        <v>569</v>
      </c>
    </row>
    <row r="250" spans="1:8" x14ac:dyDescent="0.35">
      <c r="A250" t="s">
        <v>1417</v>
      </c>
      <c r="F250" t="str">
        <f t="shared" si="6"/>
        <v>570.jpg</v>
      </c>
      <c r="G250">
        <f t="shared" si="7"/>
        <v>570</v>
      </c>
      <c r="H250" cm="1">
        <f t="array" ref="H250">_xlfn._xlws.FILTER(Folha1!B:B,Folha1!B:B=Folha2!G250)</f>
        <v>570</v>
      </c>
    </row>
    <row r="251" spans="1:8" x14ac:dyDescent="0.35">
      <c r="A251" t="s">
        <v>1418</v>
      </c>
      <c r="F251" t="str">
        <f t="shared" si="6"/>
        <v>571.jpg</v>
      </c>
      <c r="G251">
        <f t="shared" si="7"/>
        <v>571</v>
      </c>
      <c r="H251" cm="1">
        <f t="array" ref="H251">_xlfn._xlws.FILTER(Folha1!B:B,Folha1!B:B=Folha2!G251)</f>
        <v>571</v>
      </c>
    </row>
    <row r="252" spans="1:8" x14ac:dyDescent="0.35">
      <c r="A252" t="s">
        <v>1419</v>
      </c>
      <c r="F252" t="str">
        <f t="shared" si="6"/>
        <v>572.jpg</v>
      </c>
      <c r="G252">
        <f t="shared" si="7"/>
        <v>572</v>
      </c>
      <c r="H252" cm="1">
        <f t="array" ref="H252">_xlfn._xlws.FILTER(Folha1!B:B,Folha1!B:B=Folha2!G252)</f>
        <v>572</v>
      </c>
    </row>
    <row r="253" spans="1:8" x14ac:dyDescent="0.35">
      <c r="A253" t="s">
        <v>1420</v>
      </c>
      <c r="F253" t="str">
        <f t="shared" si="6"/>
        <v>573.jpg</v>
      </c>
      <c r="G253">
        <f t="shared" si="7"/>
        <v>573</v>
      </c>
      <c r="H253" cm="1">
        <f t="array" ref="H253">_xlfn._xlws.FILTER(Folha1!B:B,Folha1!B:B=Folha2!G253)</f>
        <v>573</v>
      </c>
    </row>
    <row r="254" spans="1:8" x14ac:dyDescent="0.35">
      <c r="A254" t="s">
        <v>1421</v>
      </c>
      <c r="F254" t="str">
        <f t="shared" si="6"/>
        <v>574.jpg</v>
      </c>
      <c r="G254">
        <f t="shared" si="7"/>
        <v>574</v>
      </c>
      <c r="H254" cm="1">
        <f t="array" ref="H254">_xlfn._xlws.FILTER(Folha1!B:B,Folha1!B:B=Folha2!G254)</f>
        <v>574</v>
      </c>
    </row>
    <row r="255" spans="1:8" x14ac:dyDescent="0.35">
      <c r="A255" t="s">
        <v>1422</v>
      </c>
      <c r="F255" t="str">
        <f t="shared" si="6"/>
        <v>575.jpg</v>
      </c>
      <c r="G255">
        <f t="shared" si="7"/>
        <v>575</v>
      </c>
      <c r="H255" cm="1">
        <f t="array" ref="H255">_xlfn._xlws.FILTER(Folha1!B:B,Folha1!B:B=Folha2!G255)</f>
        <v>575</v>
      </c>
    </row>
    <row r="256" spans="1:8" x14ac:dyDescent="0.35">
      <c r="A256" t="s">
        <v>1423</v>
      </c>
      <c r="F256" t="str">
        <f t="shared" si="6"/>
        <v>576.jpg</v>
      </c>
      <c r="G256">
        <f t="shared" si="7"/>
        <v>576</v>
      </c>
      <c r="H256" cm="1">
        <f t="array" ref="H256">_xlfn._xlws.FILTER(Folha1!B:B,Folha1!B:B=Folha2!G256)</f>
        <v>576</v>
      </c>
    </row>
    <row r="257" spans="1:8" x14ac:dyDescent="0.35">
      <c r="A257" t="s">
        <v>1424</v>
      </c>
      <c r="F257" t="str">
        <f t="shared" si="6"/>
        <v>577.jpg</v>
      </c>
      <c r="G257">
        <f t="shared" si="7"/>
        <v>577</v>
      </c>
      <c r="H257" cm="1">
        <f t="array" ref="H257">_xlfn._xlws.FILTER(Folha1!B:B,Folha1!B:B=Folha2!G257)</f>
        <v>577</v>
      </c>
    </row>
    <row r="258" spans="1:8" x14ac:dyDescent="0.35">
      <c r="A258" t="s">
        <v>1425</v>
      </c>
      <c r="F258" t="str">
        <f t="shared" ref="F258:F321" si="8">RIGHT(A258, (LEN(A258)+4)-FIND(".jpg", A258))</f>
        <v>578.jpg</v>
      </c>
      <c r="G258">
        <f t="shared" ref="G258:G321" si="9">_xlfn.NUMBERVALUE(IF(ISERROR(FIND(" ",F258)), LEFT(F258, 3), LEFT(RIGHT(F258,6), 2)))</f>
        <v>578</v>
      </c>
      <c r="H258" cm="1">
        <f t="array" ref="H258">_xlfn._xlws.FILTER(Folha1!B:B,Folha1!B:B=Folha2!G258)</f>
        <v>578</v>
      </c>
    </row>
    <row r="259" spans="1:8" x14ac:dyDescent="0.35">
      <c r="A259" t="s">
        <v>1426</v>
      </c>
      <c r="F259" t="str">
        <f t="shared" si="8"/>
        <v>579.jpg</v>
      </c>
      <c r="G259">
        <f t="shared" si="9"/>
        <v>579</v>
      </c>
      <c r="H259" cm="1">
        <f t="array" ref="H259">_xlfn._xlws.FILTER(Folha1!B:B,Folha1!B:B=Folha2!G259)</f>
        <v>579</v>
      </c>
    </row>
    <row r="260" spans="1:8" x14ac:dyDescent="0.35">
      <c r="A260" t="s">
        <v>1427</v>
      </c>
      <c r="F260" t="str">
        <f t="shared" si="8"/>
        <v>580.jpg</v>
      </c>
      <c r="G260">
        <f t="shared" si="9"/>
        <v>580</v>
      </c>
      <c r="H260" cm="1">
        <f t="array" ref="H260">_xlfn._xlws.FILTER(Folha1!B:B,Folha1!B:B=Folha2!G260)</f>
        <v>580</v>
      </c>
    </row>
    <row r="261" spans="1:8" x14ac:dyDescent="0.35">
      <c r="A261" t="s">
        <v>1428</v>
      </c>
      <c r="F261" t="str">
        <f t="shared" si="8"/>
        <v>581.jpg</v>
      </c>
      <c r="G261">
        <f t="shared" si="9"/>
        <v>581</v>
      </c>
      <c r="H261" cm="1">
        <f t="array" ref="H261">_xlfn._xlws.FILTER(Folha1!B:B,Folha1!B:B=Folha2!G261)</f>
        <v>581</v>
      </c>
    </row>
    <row r="262" spans="1:8" x14ac:dyDescent="0.35">
      <c r="A262" t="s">
        <v>1429</v>
      </c>
      <c r="F262" t="str">
        <f t="shared" si="8"/>
        <v>582.jpg</v>
      </c>
      <c r="G262">
        <f t="shared" si="9"/>
        <v>582</v>
      </c>
      <c r="H262" cm="1">
        <f t="array" ref="H262">_xlfn._xlws.FILTER(Folha1!B:B,Folha1!B:B=Folha2!G262)</f>
        <v>582</v>
      </c>
    </row>
    <row r="263" spans="1:8" x14ac:dyDescent="0.35">
      <c r="A263" t="s">
        <v>1430</v>
      </c>
      <c r="F263" t="str">
        <f t="shared" si="8"/>
        <v>583.jpg</v>
      </c>
      <c r="G263">
        <f t="shared" si="9"/>
        <v>583</v>
      </c>
      <c r="H263" cm="1">
        <f t="array" ref="H263">_xlfn._xlws.FILTER(Folha1!B:B,Folha1!B:B=Folha2!G263)</f>
        <v>583</v>
      </c>
    </row>
    <row r="264" spans="1:8" x14ac:dyDescent="0.35">
      <c r="A264" t="s">
        <v>1431</v>
      </c>
      <c r="F264" t="str">
        <f t="shared" si="8"/>
        <v>584.jpg</v>
      </c>
      <c r="G264">
        <f t="shared" si="9"/>
        <v>584</v>
      </c>
      <c r="H264" cm="1">
        <f t="array" ref="H264">_xlfn._xlws.FILTER(Folha1!B:B,Folha1!B:B=Folha2!G264)</f>
        <v>584</v>
      </c>
    </row>
    <row r="265" spans="1:8" x14ac:dyDescent="0.35">
      <c r="A265" t="s">
        <v>1432</v>
      </c>
      <c r="F265" t="str">
        <f t="shared" si="8"/>
        <v>585.jpg</v>
      </c>
      <c r="G265">
        <f t="shared" si="9"/>
        <v>585</v>
      </c>
      <c r="H265" cm="1">
        <f t="array" ref="H265">_xlfn._xlws.FILTER(Folha1!B:B,Folha1!B:B=Folha2!G265)</f>
        <v>585</v>
      </c>
    </row>
    <row r="266" spans="1:8" x14ac:dyDescent="0.35">
      <c r="A266" t="s">
        <v>1433</v>
      </c>
      <c r="F266" t="str">
        <f t="shared" si="8"/>
        <v>586.jpg</v>
      </c>
      <c r="G266">
        <f t="shared" si="9"/>
        <v>586</v>
      </c>
      <c r="H266" cm="1">
        <f t="array" ref="H266">_xlfn._xlws.FILTER(Folha1!B:B,Folha1!B:B=Folha2!G266)</f>
        <v>586</v>
      </c>
    </row>
    <row r="267" spans="1:8" x14ac:dyDescent="0.35">
      <c r="A267" t="s">
        <v>1434</v>
      </c>
      <c r="F267" t="str">
        <f t="shared" si="8"/>
        <v>587.jpg</v>
      </c>
      <c r="G267">
        <f t="shared" si="9"/>
        <v>587</v>
      </c>
      <c r="H267" cm="1">
        <f t="array" ref="H267">_xlfn._xlws.FILTER(Folha1!B:B,Folha1!B:B=Folha2!G267)</f>
        <v>587</v>
      </c>
    </row>
    <row r="268" spans="1:8" x14ac:dyDescent="0.35">
      <c r="A268" t="s">
        <v>1435</v>
      </c>
      <c r="F268" t="str">
        <f t="shared" si="8"/>
        <v>588.jpg</v>
      </c>
      <c r="G268">
        <f t="shared" si="9"/>
        <v>588</v>
      </c>
      <c r="H268" cm="1">
        <f t="array" ref="H268">_xlfn._xlws.FILTER(Folha1!B:B,Folha1!B:B=Folha2!G268)</f>
        <v>588</v>
      </c>
    </row>
    <row r="269" spans="1:8" x14ac:dyDescent="0.35">
      <c r="A269" t="s">
        <v>1436</v>
      </c>
      <c r="F269" t="str">
        <f t="shared" si="8"/>
        <v>589.jpg</v>
      </c>
      <c r="G269">
        <f t="shared" si="9"/>
        <v>589</v>
      </c>
      <c r="H269" cm="1">
        <f t="array" ref="H269">_xlfn._xlws.FILTER(Folha1!B:B,Folha1!B:B=Folha2!G269)</f>
        <v>589</v>
      </c>
    </row>
    <row r="270" spans="1:8" x14ac:dyDescent="0.35">
      <c r="A270" t="s">
        <v>1437</v>
      </c>
      <c r="F270" t="str">
        <f t="shared" si="8"/>
        <v xml:space="preserve"> 59.jpg</v>
      </c>
      <c r="G270">
        <f t="shared" si="9"/>
        <v>59</v>
      </c>
      <c r="H270" cm="1">
        <f t="array" ref="H270">_xlfn._xlws.FILTER(Folha1!B:B,Folha1!B:B=Folha2!G270)</f>
        <v>59</v>
      </c>
    </row>
    <row r="271" spans="1:8" x14ac:dyDescent="0.35">
      <c r="A271" t="s">
        <v>1438</v>
      </c>
      <c r="F271" t="str">
        <f t="shared" si="8"/>
        <v>590.jpg</v>
      </c>
      <c r="G271">
        <f t="shared" si="9"/>
        <v>590</v>
      </c>
      <c r="H271" cm="1">
        <f t="array" ref="H271">_xlfn._xlws.FILTER(Folha1!B:B,Folha1!B:B=Folha2!G271)</f>
        <v>590</v>
      </c>
    </row>
    <row r="272" spans="1:8" x14ac:dyDescent="0.35">
      <c r="A272" t="s">
        <v>1439</v>
      </c>
      <c r="F272" t="str">
        <f t="shared" si="8"/>
        <v>591.jpg</v>
      </c>
      <c r="G272">
        <f t="shared" si="9"/>
        <v>591</v>
      </c>
      <c r="H272" cm="1">
        <f t="array" ref="H272">_xlfn._xlws.FILTER(Folha1!B:B,Folha1!B:B=Folha2!G272)</f>
        <v>591</v>
      </c>
    </row>
    <row r="273" spans="1:8" x14ac:dyDescent="0.35">
      <c r="A273" t="s">
        <v>1440</v>
      </c>
      <c r="F273" t="str">
        <f t="shared" si="8"/>
        <v>592.jpg</v>
      </c>
      <c r="G273">
        <f t="shared" si="9"/>
        <v>592</v>
      </c>
      <c r="H273" cm="1">
        <f t="array" ref="H273">_xlfn._xlws.FILTER(Folha1!B:B,Folha1!B:B=Folha2!G273)</f>
        <v>592</v>
      </c>
    </row>
    <row r="274" spans="1:8" x14ac:dyDescent="0.35">
      <c r="A274" t="s">
        <v>1441</v>
      </c>
      <c r="F274" t="str">
        <f t="shared" si="8"/>
        <v>593.jpg</v>
      </c>
      <c r="G274">
        <f t="shared" si="9"/>
        <v>593</v>
      </c>
      <c r="H274" cm="1">
        <f t="array" ref="H274">_xlfn._xlws.FILTER(Folha1!B:B,Folha1!B:B=Folha2!G274)</f>
        <v>593</v>
      </c>
    </row>
    <row r="275" spans="1:8" x14ac:dyDescent="0.35">
      <c r="A275" t="s">
        <v>1442</v>
      </c>
      <c r="F275" t="str">
        <f t="shared" si="8"/>
        <v>594.jpg</v>
      </c>
      <c r="G275">
        <f t="shared" si="9"/>
        <v>594</v>
      </c>
      <c r="H275" cm="1">
        <f t="array" ref="H275">_xlfn._xlws.FILTER(Folha1!B:B,Folha1!B:B=Folha2!G275)</f>
        <v>594</v>
      </c>
    </row>
    <row r="276" spans="1:8" x14ac:dyDescent="0.35">
      <c r="A276" t="s">
        <v>1443</v>
      </c>
      <c r="F276" t="str">
        <f t="shared" si="8"/>
        <v>595.jpg</v>
      </c>
      <c r="G276">
        <f t="shared" si="9"/>
        <v>595</v>
      </c>
      <c r="H276" cm="1">
        <f t="array" ref="H276">_xlfn._xlws.FILTER(Folha1!B:B,Folha1!B:B=Folha2!G276)</f>
        <v>595</v>
      </c>
    </row>
    <row r="277" spans="1:8" x14ac:dyDescent="0.35">
      <c r="A277" t="s">
        <v>1444</v>
      </c>
      <c r="F277" t="str">
        <f t="shared" si="8"/>
        <v>596.jpg</v>
      </c>
      <c r="G277">
        <f t="shared" si="9"/>
        <v>596</v>
      </c>
      <c r="H277" cm="1">
        <f t="array" ref="H277">_xlfn._xlws.FILTER(Folha1!B:B,Folha1!B:B=Folha2!G277)</f>
        <v>596</v>
      </c>
    </row>
    <row r="278" spans="1:8" x14ac:dyDescent="0.35">
      <c r="A278" t="s">
        <v>1445</v>
      </c>
      <c r="F278" t="str">
        <f t="shared" si="8"/>
        <v>597.jpg</v>
      </c>
      <c r="G278">
        <f t="shared" si="9"/>
        <v>597</v>
      </c>
      <c r="H278" cm="1">
        <f t="array" ref="H278">_xlfn._xlws.FILTER(Folha1!B:B,Folha1!B:B=Folha2!G278)</f>
        <v>597</v>
      </c>
    </row>
    <row r="279" spans="1:8" x14ac:dyDescent="0.35">
      <c r="A279" t="s">
        <v>1446</v>
      </c>
      <c r="F279" t="str">
        <f t="shared" si="8"/>
        <v>598.jpg</v>
      </c>
      <c r="G279">
        <f t="shared" si="9"/>
        <v>598</v>
      </c>
      <c r="H279" cm="1">
        <f t="array" ref="H279">_xlfn._xlws.FILTER(Folha1!B:B,Folha1!B:B=Folha2!G279)</f>
        <v>598</v>
      </c>
    </row>
    <row r="280" spans="1:8" x14ac:dyDescent="0.35">
      <c r="A280" t="s">
        <v>1447</v>
      </c>
      <c r="F280" t="str">
        <f t="shared" si="8"/>
        <v>599.jpg</v>
      </c>
      <c r="G280">
        <f t="shared" si="9"/>
        <v>599</v>
      </c>
      <c r="H280" cm="1">
        <f t="array" ref="H280">_xlfn._xlws.FILTER(Folha1!B:B,Folha1!B:B=Folha2!G280)</f>
        <v>599</v>
      </c>
    </row>
    <row r="281" spans="1:8" x14ac:dyDescent="0.35">
      <c r="A281" t="s">
        <v>1448</v>
      </c>
      <c r="F281" t="str">
        <f t="shared" si="8"/>
        <v xml:space="preserve"> 60.jpg</v>
      </c>
      <c r="G281">
        <f t="shared" si="9"/>
        <v>60</v>
      </c>
      <c r="H281" cm="1">
        <f t="array" ref="H281">_xlfn._xlws.FILTER(Folha1!B:B,Folha1!B:B=Folha2!G281)</f>
        <v>60</v>
      </c>
    </row>
    <row r="282" spans="1:8" x14ac:dyDescent="0.35">
      <c r="A282" t="s">
        <v>1449</v>
      </c>
      <c r="F282" t="str">
        <f t="shared" si="8"/>
        <v>600.jpg</v>
      </c>
      <c r="G282">
        <f t="shared" si="9"/>
        <v>600</v>
      </c>
      <c r="H282" cm="1">
        <f t="array" ref="H282">_xlfn._xlws.FILTER(Folha1!B:B,Folha1!B:B=Folha2!G282)</f>
        <v>600</v>
      </c>
    </row>
    <row r="283" spans="1:8" x14ac:dyDescent="0.35">
      <c r="A283" t="s">
        <v>1450</v>
      </c>
      <c r="F283" t="str">
        <f t="shared" si="8"/>
        <v>601.jpg</v>
      </c>
      <c r="G283">
        <f t="shared" si="9"/>
        <v>601</v>
      </c>
      <c r="H283" cm="1">
        <f t="array" ref="H283">_xlfn._xlws.FILTER(Folha1!B:B,Folha1!B:B=Folha2!G283)</f>
        <v>601</v>
      </c>
    </row>
    <row r="284" spans="1:8" x14ac:dyDescent="0.35">
      <c r="A284" t="s">
        <v>1451</v>
      </c>
      <c r="F284" t="str">
        <f t="shared" si="8"/>
        <v>602.jpg</v>
      </c>
      <c r="G284">
        <f t="shared" si="9"/>
        <v>602</v>
      </c>
      <c r="H284" cm="1">
        <f t="array" ref="H284">_xlfn._xlws.FILTER(Folha1!B:B,Folha1!B:B=Folha2!G284)</f>
        <v>602</v>
      </c>
    </row>
    <row r="285" spans="1:8" x14ac:dyDescent="0.35">
      <c r="A285" t="s">
        <v>1452</v>
      </c>
      <c r="F285" t="str">
        <f t="shared" si="8"/>
        <v>603.jpg</v>
      </c>
      <c r="G285">
        <f t="shared" si="9"/>
        <v>603</v>
      </c>
      <c r="H285" cm="1">
        <f t="array" ref="H285">_xlfn._xlws.FILTER(Folha1!B:B,Folha1!B:B=Folha2!G285)</f>
        <v>603</v>
      </c>
    </row>
    <row r="286" spans="1:8" x14ac:dyDescent="0.35">
      <c r="A286" t="s">
        <v>1453</v>
      </c>
      <c r="F286" t="str">
        <f t="shared" si="8"/>
        <v>604.jpg</v>
      </c>
      <c r="G286">
        <f t="shared" si="9"/>
        <v>604</v>
      </c>
      <c r="H286" cm="1">
        <f t="array" ref="H286">_xlfn._xlws.FILTER(Folha1!B:B,Folha1!B:B=Folha2!G286)</f>
        <v>604</v>
      </c>
    </row>
    <row r="287" spans="1:8" x14ac:dyDescent="0.35">
      <c r="A287" t="s">
        <v>1454</v>
      </c>
      <c r="F287" t="str">
        <f t="shared" si="8"/>
        <v>605.jpg</v>
      </c>
      <c r="G287">
        <f t="shared" si="9"/>
        <v>605</v>
      </c>
      <c r="H287" cm="1">
        <f t="array" ref="H287">_xlfn._xlws.FILTER(Folha1!B:B,Folha1!B:B=Folha2!G287)</f>
        <v>605</v>
      </c>
    </row>
    <row r="288" spans="1:8" x14ac:dyDescent="0.35">
      <c r="A288" t="s">
        <v>1455</v>
      </c>
      <c r="F288" t="str">
        <f t="shared" si="8"/>
        <v>606.jpg</v>
      </c>
      <c r="G288">
        <f t="shared" si="9"/>
        <v>606</v>
      </c>
      <c r="H288" cm="1">
        <f t="array" ref="H288">_xlfn._xlws.FILTER(Folha1!B:B,Folha1!B:B=Folha2!G288)</f>
        <v>606</v>
      </c>
    </row>
    <row r="289" spans="1:8" x14ac:dyDescent="0.35">
      <c r="A289" t="s">
        <v>1456</v>
      </c>
      <c r="F289" t="str">
        <f t="shared" si="8"/>
        <v>607.jpg</v>
      </c>
      <c r="G289">
        <f t="shared" si="9"/>
        <v>607</v>
      </c>
      <c r="H289" cm="1">
        <f t="array" ref="H289">_xlfn._xlws.FILTER(Folha1!B:B,Folha1!B:B=Folha2!G289)</f>
        <v>607</v>
      </c>
    </row>
    <row r="290" spans="1:8" x14ac:dyDescent="0.35">
      <c r="A290" t="s">
        <v>1457</v>
      </c>
      <c r="F290" t="str">
        <f t="shared" si="8"/>
        <v>608.jpg</v>
      </c>
      <c r="G290">
        <f t="shared" si="9"/>
        <v>608</v>
      </c>
      <c r="H290" cm="1">
        <f t="array" ref="H290">_xlfn._xlws.FILTER(Folha1!B:B,Folha1!B:B=Folha2!G290)</f>
        <v>608</v>
      </c>
    </row>
    <row r="291" spans="1:8" x14ac:dyDescent="0.35">
      <c r="A291" t="s">
        <v>1458</v>
      </c>
      <c r="F291" t="str">
        <f t="shared" si="8"/>
        <v>609.jpg</v>
      </c>
      <c r="G291">
        <f t="shared" si="9"/>
        <v>609</v>
      </c>
      <c r="H291" cm="1">
        <f t="array" ref="H291">_xlfn._xlws.FILTER(Folha1!B:B,Folha1!B:B=Folha2!G291)</f>
        <v>609</v>
      </c>
    </row>
    <row r="292" spans="1:8" x14ac:dyDescent="0.35">
      <c r="A292" t="s">
        <v>1459</v>
      </c>
      <c r="F292" t="str">
        <f t="shared" si="8"/>
        <v xml:space="preserve"> 61.jpg</v>
      </c>
      <c r="G292">
        <f t="shared" si="9"/>
        <v>61</v>
      </c>
      <c r="H292" cm="1">
        <f t="array" ref="H292">_xlfn._xlws.FILTER(Folha1!B:B,Folha1!B:B=Folha2!G292)</f>
        <v>61</v>
      </c>
    </row>
    <row r="293" spans="1:8" x14ac:dyDescent="0.35">
      <c r="A293" t="s">
        <v>1460</v>
      </c>
      <c r="F293" t="str">
        <f t="shared" si="8"/>
        <v>610.jpg</v>
      </c>
      <c r="G293">
        <f t="shared" si="9"/>
        <v>610</v>
      </c>
      <c r="H293" cm="1">
        <f t="array" ref="H293">_xlfn._xlws.FILTER(Folha1!B:B,Folha1!B:B=Folha2!G293)</f>
        <v>610</v>
      </c>
    </row>
    <row r="294" spans="1:8" x14ac:dyDescent="0.35">
      <c r="A294" t="s">
        <v>1461</v>
      </c>
      <c r="F294" t="str">
        <f t="shared" si="8"/>
        <v>611.jpg</v>
      </c>
      <c r="G294">
        <f t="shared" si="9"/>
        <v>611</v>
      </c>
      <c r="H294" cm="1">
        <f t="array" ref="H294">_xlfn._xlws.FILTER(Folha1!B:B,Folha1!B:B=Folha2!G294)</f>
        <v>611</v>
      </c>
    </row>
    <row r="295" spans="1:8" x14ac:dyDescent="0.35">
      <c r="A295" t="s">
        <v>1462</v>
      </c>
      <c r="F295" t="str">
        <f t="shared" si="8"/>
        <v>612.jpg</v>
      </c>
      <c r="G295">
        <f t="shared" si="9"/>
        <v>612</v>
      </c>
      <c r="H295" cm="1">
        <f t="array" ref="H295">_xlfn._xlws.FILTER(Folha1!B:B,Folha1!B:B=Folha2!G295)</f>
        <v>612</v>
      </c>
    </row>
    <row r="296" spans="1:8" x14ac:dyDescent="0.35">
      <c r="A296" t="s">
        <v>1463</v>
      </c>
      <c r="F296" t="str">
        <f t="shared" si="8"/>
        <v>613.jpg</v>
      </c>
      <c r="G296">
        <f t="shared" si="9"/>
        <v>613</v>
      </c>
      <c r="H296" cm="1">
        <f t="array" ref="H296">_xlfn._xlws.FILTER(Folha1!B:B,Folha1!B:B=Folha2!G296)</f>
        <v>613</v>
      </c>
    </row>
    <row r="297" spans="1:8" x14ac:dyDescent="0.35">
      <c r="A297" t="s">
        <v>1464</v>
      </c>
      <c r="F297" t="str">
        <f t="shared" si="8"/>
        <v>614.jpg</v>
      </c>
      <c r="G297">
        <f t="shared" si="9"/>
        <v>614</v>
      </c>
      <c r="H297" cm="1">
        <f t="array" ref="H297">_xlfn._xlws.FILTER(Folha1!B:B,Folha1!B:B=Folha2!G297)</f>
        <v>614</v>
      </c>
    </row>
    <row r="298" spans="1:8" x14ac:dyDescent="0.35">
      <c r="A298" t="s">
        <v>1465</v>
      </c>
      <c r="F298" t="str">
        <f t="shared" si="8"/>
        <v>615.jpg</v>
      </c>
      <c r="G298">
        <f t="shared" si="9"/>
        <v>615</v>
      </c>
      <c r="H298" cm="1">
        <f t="array" ref="H298">_xlfn._xlws.FILTER(Folha1!B:B,Folha1!B:B=Folha2!G298)</f>
        <v>615</v>
      </c>
    </row>
    <row r="299" spans="1:8" x14ac:dyDescent="0.35">
      <c r="A299" t="s">
        <v>1466</v>
      </c>
      <c r="F299" t="str">
        <f t="shared" si="8"/>
        <v>616.jpg</v>
      </c>
      <c r="G299">
        <f t="shared" si="9"/>
        <v>616</v>
      </c>
      <c r="H299" cm="1">
        <f t="array" ref="H299">_xlfn._xlws.FILTER(Folha1!B:B,Folha1!B:B=Folha2!G299)</f>
        <v>616</v>
      </c>
    </row>
    <row r="300" spans="1:8" x14ac:dyDescent="0.35">
      <c r="A300" t="s">
        <v>1467</v>
      </c>
      <c r="F300" t="str">
        <f t="shared" si="8"/>
        <v>617.jpg</v>
      </c>
      <c r="G300">
        <f t="shared" si="9"/>
        <v>617</v>
      </c>
      <c r="H300" cm="1">
        <f t="array" ref="H300">_xlfn._xlws.FILTER(Folha1!B:B,Folha1!B:B=Folha2!G300)</f>
        <v>617</v>
      </c>
    </row>
    <row r="301" spans="1:8" x14ac:dyDescent="0.35">
      <c r="A301" t="s">
        <v>1468</v>
      </c>
      <c r="F301" t="str">
        <f t="shared" si="8"/>
        <v>618.jpg</v>
      </c>
      <c r="G301">
        <f t="shared" si="9"/>
        <v>618</v>
      </c>
      <c r="H301" cm="1">
        <f t="array" ref="H301">_xlfn._xlws.FILTER(Folha1!B:B,Folha1!B:B=Folha2!G301)</f>
        <v>618</v>
      </c>
    </row>
    <row r="302" spans="1:8" x14ac:dyDescent="0.35">
      <c r="A302" t="s">
        <v>1469</v>
      </c>
      <c r="F302" t="str">
        <f t="shared" si="8"/>
        <v>619.jpg</v>
      </c>
      <c r="G302">
        <f t="shared" si="9"/>
        <v>619</v>
      </c>
      <c r="H302" cm="1">
        <f t="array" ref="H302">_xlfn._xlws.FILTER(Folha1!B:B,Folha1!B:B=Folha2!G302)</f>
        <v>619</v>
      </c>
    </row>
    <row r="303" spans="1:8" x14ac:dyDescent="0.35">
      <c r="A303" t="s">
        <v>1470</v>
      </c>
      <c r="F303" t="str">
        <f t="shared" si="8"/>
        <v xml:space="preserve"> 62.jpg</v>
      </c>
      <c r="G303">
        <f t="shared" si="9"/>
        <v>62</v>
      </c>
      <c r="H303" cm="1">
        <f t="array" ref="H303">_xlfn._xlws.FILTER(Folha1!B:B,Folha1!B:B=Folha2!G303)</f>
        <v>62</v>
      </c>
    </row>
    <row r="304" spans="1:8" x14ac:dyDescent="0.35">
      <c r="A304" t="s">
        <v>1471</v>
      </c>
      <c r="F304" t="str">
        <f t="shared" si="8"/>
        <v>620.jpg</v>
      </c>
      <c r="G304">
        <f t="shared" si="9"/>
        <v>620</v>
      </c>
      <c r="H304" cm="1">
        <f t="array" ref="H304">_xlfn._xlws.FILTER(Folha1!B:B,Folha1!B:B=Folha2!G304)</f>
        <v>620</v>
      </c>
    </row>
    <row r="305" spans="1:8" x14ac:dyDescent="0.35">
      <c r="A305" t="s">
        <v>1472</v>
      </c>
      <c r="F305" t="str">
        <f t="shared" si="8"/>
        <v>621.jpg</v>
      </c>
      <c r="G305">
        <f t="shared" si="9"/>
        <v>621</v>
      </c>
      <c r="H305" cm="1">
        <f t="array" ref="H305">_xlfn._xlws.FILTER(Folha1!B:B,Folha1!B:B=Folha2!G305)</f>
        <v>621</v>
      </c>
    </row>
    <row r="306" spans="1:8" x14ac:dyDescent="0.35">
      <c r="A306" t="s">
        <v>1473</v>
      </c>
      <c r="F306" t="str">
        <f t="shared" si="8"/>
        <v>622.jpg</v>
      </c>
      <c r="G306">
        <f t="shared" si="9"/>
        <v>622</v>
      </c>
      <c r="H306" cm="1">
        <f t="array" ref="H306">_xlfn._xlws.FILTER(Folha1!B:B,Folha1!B:B=Folha2!G306)</f>
        <v>622</v>
      </c>
    </row>
    <row r="307" spans="1:8" x14ac:dyDescent="0.35">
      <c r="A307" t="s">
        <v>1474</v>
      </c>
      <c r="F307" t="str">
        <f t="shared" si="8"/>
        <v>623.jpg</v>
      </c>
      <c r="G307">
        <f t="shared" si="9"/>
        <v>623</v>
      </c>
      <c r="H307" cm="1">
        <f t="array" ref="H307">_xlfn._xlws.FILTER(Folha1!B:B,Folha1!B:B=Folha2!G307)</f>
        <v>623</v>
      </c>
    </row>
    <row r="308" spans="1:8" x14ac:dyDescent="0.35">
      <c r="A308" t="s">
        <v>1475</v>
      </c>
      <c r="F308" t="str">
        <f t="shared" si="8"/>
        <v>624.jpg</v>
      </c>
      <c r="G308">
        <f t="shared" si="9"/>
        <v>624</v>
      </c>
      <c r="H308" cm="1">
        <f t="array" ref="H308">_xlfn._xlws.FILTER(Folha1!B:B,Folha1!B:B=Folha2!G308)</f>
        <v>624</v>
      </c>
    </row>
    <row r="309" spans="1:8" x14ac:dyDescent="0.35">
      <c r="A309" t="s">
        <v>1476</v>
      </c>
      <c r="F309" t="str">
        <f t="shared" si="8"/>
        <v>625.jpg</v>
      </c>
      <c r="G309">
        <f t="shared" si="9"/>
        <v>625</v>
      </c>
      <c r="H309" cm="1">
        <f t="array" ref="H309">_xlfn._xlws.FILTER(Folha1!B:B,Folha1!B:B=Folha2!G309)</f>
        <v>625</v>
      </c>
    </row>
    <row r="310" spans="1:8" x14ac:dyDescent="0.35">
      <c r="A310" t="s">
        <v>1477</v>
      </c>
      <c r="F310" t="str">
        <f t="shared" si="8"/>
        <v>626.jpg</v>
      </c>
      <c r="G310">
        <f t="shared" si="9"/>
        <v>626</v>
      </c>
      <c r="H310" cm="1">
        <f t="array" ref="H310">_xlfn._xlws.FILTER(Folha1!B:B,Folha1!B:B=Folha2!G310)</f>
        <v>626</v>
      </c>
    </row>
    <row r="311" spans="1:8" x14ac:dyDescent="0.35">
      <c r="A311" t="s">
        <v>1478</v>
      </c>
      <c r="F311" t="str">
        <f t="shared" si="8"/>
        <v xml:space="preserve"> 63.jpg</v>
      </c>
      <c r="G311">
        <f t="shared" si="9"/>
        <v>63</v>
      </c>
      <c r="H311" t="e" cm="1" vm="1">
        <f t="array" ref="H311">_xlfn._xlws.FILTER(Folha1!B:B,Folha1!B:B=Folha2!G311)</f>
        <v>#VALUE!</v>
      </c>
    </row>
    <row r="312" spans="1:8" x14ac:dyDescent="0.35">
      <c r="A312" t="s">
        <v>1479</v>
      </c>
      <c r="F312" t="str">
        <f t="shared" si="8"/>
        <v xml:space="preserve"> 65.jpg</v>
      </c>
      <c r="G312">
        <f t="shared" si="9"/>
        <v>65</v>
      </c>
      <c r="H312" cm="1">
        <f t="array" ref="H312">_xlfn._xlws.FILTER(Folha1!B:B,Folha1!B:B=Folha2!G312)</f>
        <v>65</v>
      </c>
    </row>
    <row r="313" spans="1:8" x14ac:dyDescent="0.35">
      <c r="A313" t="s">
        <v>1480</v>
      </c>
      <c r="F313" t="str">
        <f t="shared" si="8"/>
        <v xml:space="preserve"> 66.jpg</v>
      </c>
      <c r="G313">
        <f t="shared" si="9"/>
        <v>66</v>
      </c>
      <c r="H313" cm="1">
        <f t="array" ref="H313">_xlfn._xlws.FILTER(Folha1!B:B,Folha1!B:B=Folha2!G313)</f>
        <v>66</v>
      </c>
    </row>
    <row r="314" spans="1:8" x14ac:dyDescent="0.35">
      <c r="A314" t="s">
        <v>1481</v>
      </c>
      <c r="F314" t="str">
        <f t="shared" si="8"/>
        <v xml:space="preserve"> 67.jpg</v>
      </c>
      <c r="G314">
        <f t="shared" si="9"/>
        <v>67</v>
      </c>
      <c r="H314" cm="1">
        <f t="array" ref="H314">_xlfn._xlws.FILTER(Folha1!B:B,Folha1!B:B=Folha2!G314)</f>
        <v>67</v>
      </c>
    </row>
    <row r="315" spans="1:8" x14ac:dyDescent="0.35">
      <c r="A315" t="s">
        <v>1482</v>
      </c>
      <c r="F315" t="str">
        <f t="shared" si="8"/>
        <v xml:space="preserve"> 68.jpg</v>
      </c>
      <c r="G315">
        <f t="shared" si="9"/>
        <v>68</v>
      </c>
      <c r="H315" cm="1">
        <f t="array" ref="H315">_xlfn._xlws.FILTER(Folha1!B:B,Folha1!B:B=Folha2!G315)</f>
        <v>68</v>
      </c>
    </row>
    <row r="316" spans="1:8" x14ac:dyDescent="0.35">
      <c r="A316" t="s">
        <v>1483</v>
      </c>
      <c r="F316" t="str">
        <f t="shared" si="8"/>
        <v xml:space="preserve"> 69.jpg</v>
      </c>
      <c r="G316">
        <f t="shared" si="9"/>
        <v>69</v>
      </c>
      <c r="H316" cm="1">
        <f t="array" ref="H316">_xlfn._xlws.FILTER(Folha1!B:B,Folha1!B:B=Folha2!G316)</f>
        <v>69</v>
      </c>
    </row>
    <row r="317" spans="1:8" x14ac:dyDescent="0.35">
      <c r="A317" t="s">
        <v>1484</v>
      </c>
      <c r="F317" t="str">
        <f t="shared" si="8"/>
        <v xml:space="preserve"> 72.jpg</v>
      </c>
      <c r="G317">
        <f t="shared" si="9"/>
        <v>72</v>
      </c>
      <c r="H317" cm="1">
        <f t="array" ref="H317">_xlfn._xlws.FILTER(Folha1!B:B,Folha1!B:B=Folha2!G317)</f>
        <v>72</v>
      </c>
    </row>
    <row r="318" spans="1:8" x14ac:dyDescent="0.35">
      <c r="A318" t="s">
        <v>1485</v>
      </c>
      <c r="F318" t="str">
        <f t="shared" si="8"/>
        <v xml:space="preserve"> 73.jpg</v>
      </c>
      <c r="G318">
        <f t="shared" si="9"/>
        <v>73</v>
      </c>
      <c r="H318" cm="1">
        <f t="array" ref="H318">_xlfn._xlws.FILTER(Folha1!B:B,Folha1!B:B=Folha2!G318)</f>
        <v>73</v>
      </c>
    </row>
    <row r="319" spans="1:8" x14ac:dyDescent="0.35">
      <c r="A319" t="s">
        <v>1486</v>
      </c>
      <c r="F319" t="str">
        <f t="shared" si="8"/>
        <v xml:space="preserve"> 74.jpg</v>
      </c>
      <c r="G319">
        <f t="shared" si="9"/>
        <v>74</v>
      </c>
      <c r="H319" cm="1">
        <f t="array" ref="H319">_xlfn._xlws.FILTER(Folha1!B:B,Folha1!B:B=Folha2!G319)</f>
        <v>74</v>
      </c>
    </row>
    <row r="320" spans="1:8" x14ac:dyDescent="0.35">
      <c r="A320" t="s">
        <v>1487</v>
      </c>
      <c r="F320" t="str">
        <f t="shared" si="8"/>
        <v xml:space="preserve"> 75.jpg</v>
      </c>
      <c r="G320">
        <f t="shared" si="9"/>
        <v>75</v>
      </c>
      <c r="H320" cm="1">
        <f t="array" ref="H320">_xlfn._xlws.FILTER(Folha1!B:B,Folha1!B:B=Folha2!G320)</f>
        <v>75</v>
      </c>
    </row>
    <row r="321" spans="1:8" x14ac:dyDescent="0.35">
      <c r="A321" t="s">
        <v>1488</v>
      </c>
      <c r="F321" t="str">
        <f t="shared" si="8"/>
        <v xml:space="preserve"> 76.jpg</v>
      </c>
      <c r="G321">
        <f t="shared" si="9"/>
        <v>76</v>
      </c>
      <c r="H321" cm="1">
        <f t="array" ref="H321">_xlfn._xlws.FILTER(Folha1!B:B,Folha1!B:B=Folha2!G321)</f>
        <v>76</v>
      </c>
    </row>
    <row r="322" spans="1:8" x14ac:dyDescent="0.35">
      <c r="A322" t="s">
        <v>1489</v>
      </c>
      <c r="F322" t="str">
        <f t="shared" ref="F322:F344" si="10">RIGHT(A322, (LEN(A322)+4)-FIND(".jpg", A322))</f>
        <v xml:space="preserve"> 77.jpg</v>
      </c>
      <c r="G322">
        <f t="shared" ref="G322:G343" si="11">_xlfn.NUMBERVALUE(IF(ISERROR(FIND(" ",F322)), LEFT(F322, 3), LEFT(RIGHT(F322,6), 2)))</f>
        <v>77</v>
      </c>
      <c r="H322" cm="1">
        <f t="array" ref="H322">_xlfn._xlws.FILTER(Folha1!B:B,Folha1!B:B=Folha2!G322)</f>
        <v>77</v>
      </c>
    </row>
    <row r="323" spans="1:8" x14ac:dyDescent="0.35">
      <c r="A323" t="s">
        <v>1490</v>
      </c>
      <c r="F323" t="str">
        <f t="shared" si="10"/>
        <v xml:space="preserve"> 78.jpg</v>
      </c>
      <c r="G323">
        <f t="shared" si="11"/>
        <v>78</v>
      </c>
      <c r="H323" cm="1">
        <f t="array" ref="H323">_xlfn._xlws.FILTER(Folha1!B:B,Folha1!B:B=Folha2!G323)</f>
        <v>78</v>
      </c>
    </row>
    <row r="324" spans="1:8" x14ac:dyDescent="0.35">
      <c r="A324" t="s">
        <v>1491</v>
      </c>
      <c r="F324" t="str">
        <f t="shared" si="10"/>
        <v xml:space="preserve"> 79.jpg</v>
      </c>
      <c r="G324">
        <f t="shared" si="11"/>
        <v>79</v>
      </c>
      <c r="H324" cm="1">
        <f t="array" ref="H324">_xlfn._xlws.FILTER(Folha1!B:B,Folha1!B:B=Folha2!G324)</f>
        <v>79</v>
      </c>
    </row>
    <row r="325" spans="1:8" x14ac:dyDescent="0.35">
      <c r="A325" t="s">
        <v>1492</v>
      </c>
      <c r="F325" t="str">
        <f t="shared" si="10"/>
        <v xml:space="preserve"> 80.jpg</v>
      </c>
      <c r="G325">
        <f t="shared" si="11"/>
        <v>80</v>
      </c>
      <c r="H325" cm="1">
        <f t="array" ref="H325">_xlfn._xlws.FILTER(Folha1!B:B,Folha1!B:B=Folha2!G325)</f>
        <v>80</v>
      </c>
    </row>
    <row r="326" spans="1:8" x14ac:dyDescent="0.35">
      <c r="A326" t="s">
        <v>1493</v>
      </c>
      <c r="F326" t="str">
        <f t="shared" si="10"/>
        <v xml:space="preserve"> 81.jpg</v>
      </c>
      <c r="G326">
        <f t="shared" si="11"/>
        <v>81</v>
      </c>
      <c r="H326" cm="1">
        <f t="array" ref="H326">_xlfn._xlws.FILTER(Folha1!B:B,Folha1!B:B=Folha2!G326)</f>
        <v>81</v>
      </c>
    </row>
    <row r="327" spans="1:8" x14ac:dyDescent="0.35">
      <c r="A327" t="s">
        <v>1494</v>
      </c>
      <c r="F327" t="str">
        <f t="shared" si="10"/>
        <v xml:space="preserve"> 82.jpg</v>
      </c>
      <c r="G327">
        <f t="shared" si="11"/>
        <v>82</v>
      </c>
      <c r="H327" cm="1">
        <f t="array" ref="H327">_xlfn._xlws.FILTER(Folha1!B:B,Folha1!B:B=Folha2!G327)</f>
        <v>82</v>
      </c>
    </row>
    <row r="328" spans="1:8" x14ac:dyDescent="0.35">
      <c r="A328" t="s">
        <v>1495</v>
      </c>
      <c r="F328" t="str">
        <f t="shared" si="10"/>
        <v xml:space="preserve"> 83.jpg</v>
      </c>
      <c r="G328">
        <f t="shared" si="11"/>
        <v>83</v>
      </c>
      <c r="H328" cm="1">
        <f t="array" ref="H328">_xlfn._xlws.FILTER(Folha1!B:B,Folha1!B:B=Folha2!G328)</f>
        <v>83</v>
      </c>
    </row>
    <row r="329" spans="1:8" x14ac:dyDescent="0.35">
      <c r="A329" t="s">
        <v>1496</v>
      </c>
      <c r="F329" t="str">
        <f t="shared" si="10"/>
        <v xml:space="preserve"> 84.jpg</v>
      </c>
      <c r="G329">
        <f t="shared" si="11"/>
        <v>84</v>
      </c>
      <c r="H329" cm="1">
        <f t="array" ref="H329">_xlfn._xlws.FILTER(Folha1!B:B,Folha1!B:B=Folha2!G329)</f>
        <v>84</v>
      </c>
    </row>
    <row r="330" spans="1:8" x14ac:dyDescent="0.35">
      <c r="A330" t="s">
        <v>1497</v>
      </c>
      <c r="F330" t="str">
        <f t="shared" si="10"/>
        <v xml:space="preserve"> 85.jpg</v>
      </c>
      <c r="G330">
        <f t="shared" si="11"/>
        <v>85</v>
      </c>
      <c r="H330" cm="1">
        <f t="array" ref="H330">_xlfn._xlws.FILTER(Folha1!B:B,Folha1!B:B=Folha2!G330)</f>
        <v>85</v>
      </c>
    </row>
    <row r="331" spans="1:8" x14ac:dyDescent="0.35">
      <c r="A331" t="s">
        <v>1498</v>
      </c>
      <c r="F331" t="str">
        <f t="shared" si="10"/>
        <v xml:space="preserve"> 86.jpg</v>
      </c>
      <c r="G331">
        <f t="shared" si="11"/>
        <v>86</v>
      </c>
      <c r="H331" cm="1">
        <f t="array" ref="H331">_xlfn._xlws.FILTER(Folha1!B:B,Folha1!B:B=Folha2!G331)</f>
        <v>86</v>
      </c>
    </row>
    <row r="332" spans="1:8" x14ac:dyDescent="0.35">
      <c r="A332" t="s">
        <v>1499</v>
      </c>
      <c r="F332" t="str">
        <f t="shared" si="10"/>
        <v xml:space="preserve"> 87.jpg</v>
      </c>
      <c r="G332">
        <f t="shared" si="11"/>
        <v>87</v>
      </c>
      <c r="H332" cm="1">
        <f t="array" ref="H332">_xlfn._xlws.FILTER(Folha1!B:B,Folha1!B:B=Folha2!G332)</f>
        <v>87</v>
      </c>
    </row>
    <row r="333" spans="1:8" x14ac:dyDescent="0.35">
      <c r="A333" t="s">
        <v>1500</v>
      </c>
      <c r="F333" t="str">
        <f t="shared" si="10"/>
        <v xml:space="preserve"> 88.jpg</v>
      </c>
      <c r="G333">
        <f t="shared" si="11"/>
        <v>88</v>
      </c>
      <c r="H333" cm="1">
        <f t="array" ref="H333">_xlfn._xlws.FILTER(Folha1!B:B,Folha1!B:B=Folha2!G333)</f>
        <v>88</v>
      </c>
    </row>
    <row r="334" spans="1:8" x14ac:dyDescent="0.35">
      <c r="A334" t="s">
        <v>1501</v>
      </c>
      <c r="F334" t="str">
        <f t="shared" si="10"/>
        <v xml:space="preserve"> 89.jpg</v>
      </c>
      <c r="G334">
        <f t="shared" si="11"/>
        <v>89</v>
      </c>
      <c r="H334" cm="1">
        <f t="array" ref="H334">_xlfn._xlws.FILTER(Folha1!B:B,Folha1!B:B=Folha2!G334)</f>
        <v>89</v>
      </c>
    </row>
    <row r="335" spans="1:8" x14ac:dyDescent="0.35">
      <c r="A335" t="s">
        <v>1502</v>
      </c>
      <c r="F335" t="str">
        <f t="shared" si="10"/>
        <v xml:space="preserve"> 90.jpg</v>
      </c>
      <c r="G335">
        <f t="shared" si="11"/>
        <v>90</v>
      </c>
      <c r="H335" cm="1">
        <f t="array" ref="H335">_xlfn._xlws.FILTER(Folha1!B:B,Folha1!B:B=Folha2!G335)</f>
        <v>90</v>
      </c>
    </row>
    <row r="336" spans="1:8" x14ac:dyDescent="0.35">
      <c r="A336" t="s">
        <v>1503</v>
      </c>
      <c r="F336" t="str">
        <f t="shared" si="10"/>
        <v xml:space="preserve"> 91.jpg</v>
      </c>
      <c r="G336">
        <f t="shared" si="11"/>
        <v>91</v>
      </c>
      <c r="H336" cm="1">
        <f t="array" ref="H336">_xlfn._xlws.FILTER(Folha1!B:B,Folha1!B:B=Folha2!G336)</f>
        <v>91</v>
      </c>
    </row>
    <row r="337" spans="1:8" x14ac:dyDescent="0.35">
      <c r="A337" t="s">
        <v>1504</v>
      </c>
      <c r="F337" t="str">
        <f t="shared" si="10"/>
        <v xml:space="preserve"> 92.jpg</v>
      </c>
      <c r="G337">
        <f t="shared" si="11"/>
        <v>92</v>
      </c>
      <c r="H337" cm="1">
        <f t="array" ref="H337">_xlfn._xlws.FILTER(Folha1!B:B,Folha1!B:B=Folha2!G337)</f>
        <v>92</v>
      </c>
    </row>
    <row r="338" spans="1:8" x14ac:dyDescent="0.35">
      <c r="A338" t="s">
        <v>1505</v>
      </c>
      <c r="F338" t="str">
        <f t="shared" si="10"/>
        <v xml:space="preserve"> 93.jpg</v>
      </c>
      <c r="G338">
        <f t="shared" si="11"/>
        <v>93</v>
      </c>
      <c r="H338" cm="1">
        <f t="array" ref="H338">_xlfn._xlws.FILTER(Folha1!B:B,Folha1!B:B=Folha2!G338)</f>
        <v>93</v>
      </c>
    </row>
    <row r="339" spans="1:8" x14ac:dyDescent="0.35">
      <c r="A339" t="s">
        <v>1506</v>
      </c>
      <c r="F339" t="str">
        <f t="shared" si="10"/>
        <v xml:space="preserve"> 94.jpg</v>
      </c>
      <c r="G339">
        <f t="shared" si="11"/>
        <v>94</v>
      </c>
      <c r="H339" cm="1">
        <f t="array" ref="H339">_xlfn._xlws.FILTER(Folha1!B:B,Folha1!B:B=Folha2!G339)</f>
        <v>94</v>
      </c>
    </row>
    <row r="340" spans="1:8" x14ac:dyDescent="0.35">
      <c r="A340" t="s">
        <v>1507</v>
      </c>
      <c r="F340" t="str">
        <f t="shared" si="10"/>
        <v xml:space="preserve"> 95.jpg</v>
      </c>
      <c r="G340">
        <f t="shared" si="11"/>
        <v>95</v>
      </c>
      <c r="H340" cm="1">
        <f t="array" ref="H340">_xlfn._xlws.FILTER(Folha1!B:B,Folha1!B:B=Folha2!G340)</f>
        <v>95</v>
      </c>
    </row>
    <row r="341" spans="1:8" x14ac:dyDescent="0.35">
      <c r="A341" t="s">
        <v>1508</v>
      </c>
      <c r="F341" t="str">
        <f t="shared" si="10"/>
        <v xml:space="preserve"> 96.jpg</v>
      </c>
      <c r="G341">
        <f t="shared" si="11"/>
        <v>96</v>
      </c>
      <c r="H341" cm="1">
        <f t="array" ref="H341">_xlfn._xlws.FILTER(Folha1!B:B,Folha1!B:B=Folha2!G341)</f>
        <v>96</v>
      </c>
    </row>
    <row r="342" spans="1:8" x14ac:dyDescent="0.35">
      <c r="A342" t="s">
        <v>1509</v>
      </c>
      <c r="F342" t="str">
        <f t="shared" si="10"/>
        <v xml:space="preserve"> 97.jpg</v>
      </c>
      <c r="G342">
        <f t="shared" si="11"/>
        <v>97</v>
      </c>
      <c r="H342" cm="1">
        <f t="array" ref="H342">_xlfn._xlws.FILTER(Folha1!B:B,Folha1!B:B=Folha2!G342)</f>
        <v>97</v>
      </c>
    </row>
    <row r="343" spans="1:8" x14ac:dyDescent="0.35">
      <c r="A343" t="s">
        <v>1510</v>
      </c>
      <c r="F343" t="str">
        <f t="shared" si="10"/>
        <v xml:space="preserve"> 98.jpg</v>
      </c>
      <c r="G343">
        <f t="shared" si="11"/>
        <v>98</v>
      </c>
      <c r="H343" cm="1">
        <f t="array" ref="H343">_xlfn._xlws.FILTER(Folha1!B:B,Folha1!B:B=Folha2!G343)</f>
        <v>98</v>
      </c>
    </row>
    <row r="344" spans="1:8" x14ac:dyDescent="0.35">
      <c r="A344" t="s">
        <v>1511</v>
      </c>
      <c r="F344" t="str">
        <f t="shared" si="10"/>
        <v xml:space="preserve"> 99.jpg</v>
      </c>
      <c r="G344">
        <f>_xlfn.NUMBERVALUE(IF(ISERROR(FIND(" ",F344)), LEFT(F344, 3), LEFT(RIGHT(F344,6), 2)))</f>
        <v>99</v>
      </c>
      <c r="H344" cm="1">
        <f t="array" ref="H344">_xlfn._xlws.FILTER(Folha1!B:B,Folha1!B:B=Folha2!G344)</f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Folha1</vt:lpstr>
      <vt:lpstr>Folha2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Saturnino Pascoal</dc:creator>
  <cp:lastModifiedBy>Marcelo Saturnino Pascoal</cp:lastModifiedBy>
  <dcterms:created xsi:type="dcterms:W3CDTF">2026-02-07T20:00:40Z</dcterms:created>
  <dcterms:modified xsi:type="dcterms:W3CDTF">2026-02-10T01:20:14Z</dcterms:modified>
</cp:coreProperties>
</file>